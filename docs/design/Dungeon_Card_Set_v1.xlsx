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w to use" sheetId="1" state="visible" r:id="rId3"/>
    <sheet name="Rules" sheetId="2" state="visible" r:id="rId4"/>
    <sheet name="Cards" sheetId="3" state="visible" r:id="rId5"/>
    <sheet name="Summary" sheetId="4" state="visible" r:id="rId6"/>
    <sheet name="Keywords" sheetId="5" state="visible" r:id="rId7"/>
  </sheets>
  <definedNames>
    <definedName function="false" hidden="true" localSheetId="2" name="_xlnm._FilterDatabase" vbProcedure="false">Cards!$A$1:$AA$44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<sst xmlns="http://schemas.openxmlformats.org/spreadsheetml/2006/main" count="484" uniqueCount="318">
  <si>
    <t xml:space="preserve">How to use this workbook</t>
  </si>
  <si>
    <t xml:space="preserve">Cards tab: one row per card. Fill in the blue effect columns (I–V) with the numbers on the card; Value, Budget, Difference and Status calculate automatically.</t>
  </si>
  <si>
    <t xml:space="preserve">• Budget = (Cost × points per energy + base value + rarity bonus), × exhaust multiplier if the card exhausts.</t>
  </si>
  <si>
    <t xml:space="preserve">• Value = sum of each effect × its price (Rules tab). Power cards list their per-turn effect and are multiplied by the power multiplier.</t>
  </si>
  <si>
    <t xml:space="preserve">• 'Other value' is for unique effects the price list can't capture. Cards marked PLAYTEST in Notes rely on it, so balance those by playing.</t>
  </si>
  <si>
    <t xml:space="preserve">• Status: Balanced (within tolerance), Over budget, Under budget. Starter cards should stay under budget so every reward feels like an upgrade.</t>
  </si>
  <si>
    <t xml:space="preserve">• To add a card: type it into the first empty row below the set. Formulas are already there.</t>
  </si>
  <si>
    <t xml:space="preserve">Rules tab: baseline combat numbers, the budget formula, and the effect price list. Change any input there and the whole set re-balances.</t>
  </si>
  <si>
    <t xml:space="preserve">Summary tab: card counts by archetype and rarity, balance status, and the starter deck. Keywords tab: rules text for every keyword and which role implements it.</t>
  </si>
  <si>
    <t xml:space="preserve">Example row: C01 Slash — Attack, cost 1, Common, Damage 9 → Value 9, Budget 9, Balanced.</t>
  </si>
  <si>
    <t xml:space="preserve">Dungeon Roguelike – Balance Rules</t>
  </si>
  <si>
    <t xml:space="preserve">Blue cells on yellow are inputs: change them and every card's value/budget on the Cards tab recalculates.</t>
  </si>
  <si>
    <t xml:space="preserve">Baseline (combat)</t>
  </si>
  <si>
    <t xml:space="preserve">Player max HP</t>
  </si>
  <si>
    <t xml:space="preserve">Starting value; tune in playtests</t>
  </si>
  <si>
    <t xml:space="preserve">Energy per turn</t>
  </si>
  <si>
    <t xml:space="preserve">Cards drawn per turn</t>
  </si>
  <si>
    <t xml:space="preserve">Starter deck size</t>
  </si>
  <si>
    <t xml:space="preserve">5 Strike, 4 Defend, 1 Lantern Bash</t>
  </si>
  <si>
    <t xml:space="preserve">Normal enemy HP (min)</t>
  </si>
  <si>
    <t xml:space="preserve">Normal fights should last 3–4 turns</t>
  </si>
  <si>
    <t xml:space="preserve">Normal enemy HP (max)</t>
  </si>
  <si>
    <t xml:space="preserve">Elite HP (min)</t>
  </si>
  <si>
    <t xml:space="preserve">Elite HP (max)</t>
  </si>
  <si>
    <t xml:space="preserve">Boss HP</t>
  </si>
  <si>
    <t xml:space="preserve">Single boss for v1</t>
  </si>
  <si>
    <t xml:space="preserve">Budget formula</t>
  </si>
  <si>
    <t xml:space="preserve">Points per energy</t>
  </si>
  <si>
    <t xml:space="preserve">Budget = cost × this + base + rarity bonus</t>
  </si>
  <si>
    <t xml:space="preserve">Base card value</t>
  </si>
  <si>
    <t xml:space="preserve">Being a card is worth something (draw + hand slot)</t>
  </si>
  <si>
    <t xml:space="preserve">Rarity bonus: Common</t>
  </si>
  <si>
    <t xml:space="preserve">Rarity bonus: Uncommon</t>
  </si>
  <si>
    <t xml:space="preserve">Rarity bonus: Rare</t>
  </si>
  <si>
    <t xml:space="preserve">Exhaust budget multiplier</t>
  </si>
  <si>
    <t xml:space="preserve">One-use cards get 30% more budget</t>
  </si>
  <si>
    <t xml:space="preserve">Power value multiplier</t>
  </si>
  <si>
    <t xml:space="preserve">Power effects listed per turn are worth ×2</t>
  </si>
  <si>
    <t xml:space="preserve">'All enemies' multiplier</t>
  </si>
  <si>
    <t xml:space="preserve">Applies to AoE damage and debuffs that hit all enemies</t>
  </si>
  <si>
    <t xml:space="preserve">Balanced tolerance (±)</t>
  </si>
  <si>
    <t xml:space="preserve">Value within this of budget = Balanced</t>
  </si>
  <si>
    <t xml:space="preserve">Effect price list (points per 1)</t>
  </si>
  <si>
    <t xml:space="preserve">Damage</t>
  </si>
  <si>
    <t xml:space="preserve">Block</t>
  </si>
  <si>
    <t xml:space="preserve">Reliable defense is slightly better than damage</t>
  </si>
  <si>
    <t xml:space="preserve">Heal</t>
  </si>
  <si>
    <t xml:space="preserve">Healing is scarce in roguelikes; keep it pricey</t>
  </si>
  <si>
    <t xml:space="preserve">Draw</t>
  </si>
  <si>
    <t xml:space="preserve">Energy</t>
  </si>
  <si>
    <t xml:space="preserve">Weak (per turn)</t>
  </si>
  <si>
    <t xml:space="preserve">Enemy deals 25% less damage</t>
  </si>
  <si>
    <t xml:space="preserve">Vulnerable (per turn)</t>
  </si>
  <si>
    <t xml:space="preserve">Enemy takes 50% more damage</t>
  </si>
  <si>
    <t xml:space="preserve">Poison (per stack)</t>
  </si>
  <si>
    <t xml:space="preserve">Strength (per stack)</t>
  </si>
  <si>
    <t xml:space="preserve">+1 damage per attack hit for the rest of the fight</t>
  </si>
  <si>
    <t xml:space="preserve">HP loss (per 1)</t>
  </si>
  <si>
    <t xml:space="preserve">A cost to the player; subtracts value</t>
  </si>
  <si>
    <t xml:space="preserve">ID</t>
  </si>
  <si>
    <t xml:space="preserve">Name</t>
  </si>
  <si>
    <t xml:space="preserve">Type</t>
  </si>
  <si>
    <t xml:space="preserve">Cost</t>
  </si>
  <si>
    <t xml:space="preserve">Rarity</t>
  </si>
  <si>
    <t xml:space="preserve">Archetype</t>
  </si>
  <si>
    <t xml:space="preserve">Card text</t>
  </si>
  <si>
    <t xml:space="preserve">Upgraded text</t>
  </si>
  <si>
    <t xml:space="preserve">AoE dmg</t>
  </si>
  <si>
    <t xml:space="preserve">Weak</t>
  </si>
  <si>
    <t xml:space="preserve">Vuln</t>
  </si>
  <si>
    <t xml:space="preserve">Poison</t>
  </si>
  <si>
    <t xml:space="preserve">Debuffs hit all?</t>
  </si>
  <si>
    <t xml:space="preserve">Strength</t>
  </si>
  <si>
    <t xml:space="preserve">HP loss</t>
  </si>
  <si>
    <t xml:space="preserve">Exhaust?</t>
  </si>
  <si>
    <t xml:space="preserve">Other value</t>
  </si>
  <si>
    <t xml:space="preserve">Notes</t>
  </si>
  <si>
    <t xml:space="preserve">Value</t>
  </si>
  <si>
    <t xml:space="preserve">Budget</t>
  </si>
  <si>
    <t xml:space="preserve">Difference</t>
  </si>
  <si>
    <t xml:space="preserve">Status</t>
  </si>
  <si>
    <t xml:space="preserve">S01</t>
  </si>
  <si>
    <t xml:space="preserve">Strike</t>
  </si>
  <si>
    <t xml:space="preserve">Attack</t>
  </si>
  <si>
    <t xml:space="preserve">Starter</t>
  </si>
  <si>
    <t xml:space="preserve">Neutral</t>
  </si>
  <si>
    <t xml:space="preserve">Deal 6 damage.</t>
  </si>
  <si>
    <t xml:space="preserve">Deal 9 damage.</t>
  </si>
  <si>
    <t xml:space="preserve">x5 in starter deck</t>
  </si>
  <si>
    <t xml:space="preserve">S02</t>
  </si>
  <si>
    <t xml:space="preserve">Defend</t>
  </si>
  <si>
    <t xml:space="preserve">Skill</t>
  </si>
  <si>
    <t xml:space="preserve">Gain 5 block.</t>
  </si>
  <si>
    <t xml:space="preserve">Gain 8 block.</t>
  </si>
  <si>
    <t xml:space="preserve">x4 in starter deck</t>
  </si>
  <si>
    <t xml:space="preserve">S03</t>
  </si>
  <si>
    <t xml:space="preserve">Lantern Bash</t>
  </si>
  <si>
    <t xml:space="preserve">Deal 5 damage. Apply 1 Vulnerable.</t>
  </si>
  <si>
    <t xml:space="preserve">Deal 7 damage. Apply 2 Vulnerable.</t>
  </si>
  <si>
    <t xml:space="preserve">x1 signature card; teaches debuffs</t>
  </si>
  <si>
    <t xml:space="preserve">C01</t>
  </si>
  <si>
    <t xml:space="preserve">Slash</t>
  </si>
  <si>
    <t xml:space="preserve">Common</t>
  </si>
  <si>
    <t xml:space="preserve">Deal 12 damage.</t>
  </si>
  <si>
    <t xml:space="preserve">C02</t>
  </si>
  <si>
    <t xml:space="preserve">Quick Jab</t>
  </si>
  <si>
    <t xml:space="preserve">Brawler</t>
  </si>
  <si>
    <t xml:space="preserve">Deal 3 damage.</t>
  </si>
  <si>
    <t xml:space="preserve">Deal 5 damage.</t>
  </si>
  <si>
    <t xml:space="preserve">Free attacks scale with Strength</t>
  </si>
  <si>
    <t xml:space="preserve">C03</t>
  </si>
  <si>
    <t xml:space="preserve">Cleave</t>
  </si>
  <si>
    <t xml:space="preserve">Deal 6 damage to ALL enemies.</t>
  </si>
  <si>
    <t xml:space="preserve">Deal 9 damage to ALL enemies.</t>
  </si>
  <si>
    <t xml:space="preserve">C04</t>
  </si>
  <si>
    <t xml:space="preserve">Heavy Swing</t>
  </si>
  <si>
    <t xml:space="preserve">Deal 15 damage.</t>
  </si>
  <si>
    <t xml:space="preserve">Deal 20 damage.</t>
  </si>
  <si>
    <t xml:space="preserve">C05</t>
  </si>
  <si>
    <t xml:space="preserve">Twin Strike</t>
  </si>
  <si>
    <t xml:space="preserve">Deal 4 damage twice.</t>
  </si>
  <si>
    <t xml:space="preserve">Deal 5 damage twice.</t>
  </si>
  <si>
    <t xml:space="preserve">Other: multi-hit doubles Strength bonus</t>
  </si>
  <si>
    <t xml:space="preserve">C06</t>
  </si>
  <si>
    <t xml:space="preserve">Poisoned Blade</t>
  </si>
  <si>
    <t xml:space="preserve">Venom</t>
  </si>
  <si>
    <t xml:space="preserve">Deal 3 damage. Apply 4 Poison.</t>
  </si>
  <si>
    <t xml:space="preserve">Deal 4 damage. Apply 6 Poison.</t>
  </si>
  <si>
    <t xml:space="preserve">C07</t>
  </si>
  <si>
    <t xml:space="preserve">Shield Slam</t>
  </si>
  <si>
    <t xml:space="preserve">Guardian</t>
  </si>
  <si>
    <t xml:space="preserve">Deal 4 damage. Gain 4 block.</t>
  </si>
  <si>
    <t xml:space="preserve">Deal 6 damage. Gain 6 block.</t>
  </si>
  <si>
    <t xml:space="preserve">C08</t>
  </si>
  <si>
    <t xml:space="preserve">Venom Fang</t>
  </si>
  <si>
    <t xml:space="preserve">Apply 2 Poison.</t>
  </si>
  <si>
    <t xml:space="preserve">Apply 3 Poison.</t>
  </si>
  <si>
    <t xml:space="preserve">C09</t>
  </si>
  <si>
    <t xml:space="preserve">Pommel Strike</t>
  </si>
  <si>
    <t xml:space="preserve">Tactician</t>
  </si>
  <si>
    <t xml:space="preserve">Deal 5 damage. Draw 1 card.</t>
  </si>
  <si>
    <t xml:space="preserve">Deal 7 damage. Draw 1 card.</t>
  </si>
  <si>
    <t xml:space="preserve">C10</t>
  </si>
  <si>
    <t xml:space="preserve">Torch Swing</t>
  </si>
  <si>
    <t xml:space="preserve">Deal 6 damage. Apply 1 Vulnerable.</t>
  </si>
  <si>
    <t xml:space="preserve">Deal 8 damage. Apply 2 Vulnerable.</t>
  </si>
  <si>
    <t xml:space="preserve">C11</t>
  </si>
  <si>
    <t xml:space="preserve">Brace</t>
  </si>
  <si>
    <t xml:space="preserve">Gain 7 block.</t>
  </si>
  <si>
    <t xml:space="preserve">Gain 10 block.</t>
  </si>
  <si>
    <t xml:space="preserve">C12</t>
  </si>
  <si>
    <t xml:space="preserve">Raise Shield</t>
  </si>
  <si>
    <t xml:space="preserve">Gain 12 block.</t>
  </si>
  <si>
    <t xml:space="preserve">Gain 16 block.</t>
  </si>
  <si>
    <t xml:space="preserve">C13</t>
  </si>
  <si>
    <t xml:space="preserve">Dodge Roll</t>
  </si>
  <si>
    <t xml:space="preserve">Gain 4 block. Draw 1 card.</t>
  </si>
  <si>
    <t xml:space="preserve">Gain 6 block. Draw 1 card.</t>
  </si>
  <si>
    <t xml:space="preserve">C14</t>
  </si>
  <si>
    <t xml:space="preserve">Toxic Vial</t>
  </si>
  <si>
    <t xml:space="preserve">Apply 6 Poison.</t>
  </si>
  <si>
    <t xml:space="preserve">Apply 9 Poison.</t>
  </si>
  <si>
    <t xml:space="preserve">C15</t>
  </si>
  <si>
    <t xml:space="preserve">Bandage</t>
  </si>
  <si>
    <t xml:space="preserve">Gain 4 block. Heal 4 HP. Exhaust.</t>
  </si>
  <si>
    <t xml:space="preserve">Gain 5 block. Heal 6 HP. Exhaust.</t>
  </si>
  <si>
    <t xml:space="preserve">Y</t>
  </si>
  <si>
    <t xml:space="preserve">Only in-combat heal at Common</t>
  </si>
  <si>
    <t xml:space="preserve">C16</t>
  </si>
  <si>
    <t xml:space="preserve">Scout Ahead</t>
  </si>
  <si>
    <t xml:space="preserve">Draw 2 cards.</t>
  </si>
  <si>
    <t xml:space="preserve">Draw 3 cards.</t>
  </si>
  <si>
    <t xml:space="preserve">C17</t>
  </si>
  <si>
    <t xml:space="preserve">Smoke Bomb</t>
  </si>
  <si>
    <t xml:space="preserve">Apply 2 Weak to ALL enemies.</t>
  </si>
  <si>
    <t xml:space="preserve">Apply 3 Weak to ALL enemies.</t>
  </si>
  <si>
    <t xml:space="preserve">C18</t>
  </si>
  <si>
    <t xml:space="preserve">Sharpen</t>
  </si>
  <si>
    <t xml:space="preserve">Your next Attack this turn deals 3 extra damage.</t>
  </si>
  <si>
    <t xml:space="preserve">Your next Attack this turn deals 5 extra damage.</t>
  </si>
  <si>
    <t xml:space="preserve">Other: conditional +3 damage</t>
  </si>
  <si>
    <t xml:space="preserve">C19</t>
  </si>
  <si>
    <t xml:space="preserve">Deep Breath</t>
  </si>
  <si>
    <t xml:space="preserve">Draw 1 card. Exhaust.</t>
  </si>
  <si>
    <t xml:space="preserve">Draw 2 cards. Exhaust.</t>
  </si>
  <si>
    <t xml:space="preserve">C20</t>
  </si>
  <si>
    <t xml:space="preserve">Stand Firm</t>
  </si>
  <si>
    <t xml:space="preserve">Gain 5 block. Apply 1 Weak.</t>
  </si>
  <si>
    <t xml:space="preserve">Gain 7 block. Apply 1 Weak.</t>
  </si>
  <si>
    <t xml:space="preserve">U01</t>
  </si>
  <si>
    <t xml:space="preserve">Expose</t>
  </si>
  <si>
    <t xml:space="preserve">Uncommon</t>
  </si>
  <si>
    <t xml:space="preserve">Deal 5 damage. Apply 2 Vulnerable.</t>
  </si>
  <si>
    <t xml:space="preserve">Deal 7 damage. Apply 3 Vulnerable.</t>
  </si>
  <si>
    <t xml:space="preserve">U02</t>
  </si>
  <si>
    <t xml:space="preserve">Shield Bash</t>
  </si>
  <si>
    <t xml:space="preserve">Deal 8 damage. Gain 7 block.</t>
  </si>
  <si>
    <t xml:space="preserve">Deal 11 damage. Gain 9 block.</t>
  </si>
  <si>
    <t xml:space="preserve">U03</t>
  </si>
  <si>
    <t xml:space="preserve">Whirling Blade</t>
  </si>
  <si>
    <t xml:space="preserve">Deal 11 damage to ALL enemies.</t>
  </si>
  <si>
    <t xml:space="preserve">Deal 15 damage to ALL enemies.</t>
  </si>
  <si>
    <t xml:space="preserve">U04</t>
  </si>
  <si>
    <t xml:space="preserve">Venom Cloud</t>
  </si>
  <si>
    <t xml:space="preserve">Apply 7 Poison to ALL enemies.</t>
  </si>
  <si>
    <t xml:space="preserve">Apply 10 Poison to ALL enemies.</t>
  </si>
  <si>
    <t xml:space="preserve">U05</t>
  </si>
  <si>
    <t xml:space="preserve">Rally</t>
  </si>
  <si>
    <t xml:space="preserve">Gain 1 energy. Exhaust.</t>
  </si>
  <si>
    <t xml:space="preserve">Gain 1 energy. Draw 1 card. Exhaust.</t>
  </si>
  <si>
    <t xml:space="preserve">U06</t>
  </si>
  <si>
    <t xml:space="preserve">Iron Skin</t>
  </si>
  <si>
    <t xml:space="preserve">Power</t>
  </si>
  <si>
    <t xml:space="preserve">At the start of each turn, gain 4 block.</t>
  </si>
  <si>
    <t xml:space="preserve">At the start of each turn, gain 6 block.</t>
  </si>
  <si>
    <t xml:space="preserve">Power: per-turn effect</t>
  </si>
  <si>
    <t xml:space="preserve">U07</t>
  </si>
  <si>
    <t xml:space="preserve">Battle Cry</t>
  </si>
  <si>
    <t xml:space="preserve">Gain 2 Strength. Draw 1 card.</t>
  </si>
  <si>
    <t xml:space="preserve">Gain 3 Strength. Draw 1 card.</t>
  </si>
  <si>
    <t xml:space="preserve">Core Brawler engine</t>
  </si>
  <si>
    <t xml:space="preserve">U08</t>
  </si>
  <si>
    <t xml:space="preserve">Bloodletter</t>
  </si>
  <si>
    <t xml:space="preserve">Deal 12 damage. If this kills an enemy, heal 5 HP.</t>
  </si>
  <si>
    <t xml:space="preserve">Deal 15 damage. If this kills an enemy, heal 7 HP.</t>
  </si>
  <si>
    <t xml:space="preserve">Other: conditional heal (~half of 5 heal)</t>
  </si>
  <si>
    <t xml:space="preserve">U09</t>
  </si>
  <si>
    <t xml:space="preserve">Envenom</t>
  </si>
  <si>
    <t xml:space="preserve">Whenever your Attack deals damage, apply 1 Poison.</t>
  </si>
  <si>
    <t xml:space="preserve">Whenever your Attack deals damage, apply 2 Poison.</t>
  </si>
  <si>
    <t xml:space="preserve">PLAYTEST: value depends on attacks per turn</t>
  </si>
  <si>
    <t xml:space="preserve">U10</t>
  </si>
  <si>
    <t xml:space="preserve">Parry</t>
  </si>
  <si>
    <t xml:space="preserve">Gain 6 block. If the enemy intends to attack, deal 5 damage to it.</t>
  </si>
  <si>
    <t xml:space="preserve">Gain 8 block. If the enemy intends to attack, deal 8 damage to it.</t>
  </si>
  <si>
    <t xml:space="preserve">Uses enemy intent (Role 1)</t>
  </si>
  <si>
    <t xml:space="preserve">U11</t>
  </si>
  <si>
    <t xml:space="preserve">Reckless Charge</t>
  </si>
  <si>
    <t xml:space="preserve">Deal 8 damage. Lose 2 HP.</t>
  </si>
  <si>
    <t xml:space="preserve">Deal 11 damage. Lose 2 HP.</t>
  </si>
  <si>
    <t xml:space="preserve">U12</t>
  </si>
  <si>
    <t xml:space="preserve">Quick Thinking</t>
  </si>
  <si>
    <t xml:space="preserve">Draw 3 cards, then discard 1.</t>
  </si>
  <si>
    <t xml:space="preserve">Draw 4 cards, then discard 1.</t>
  </si>
  <si>
    <t xml:space="preserve">Other: discard cost; needs choose-a-card UI (Role 3)</t>
  </si>
  <si>
    <t xml:space="preserve">U13</t>
  </si>
  <si>
    <t xml:space="preserve">Bulwark</t>
  </si>
  <si>
    <t xml:space="preserve">Gain 10 block. Next turn, gain 5 block.</t>
  </si>
  <si>
    <t xml:space="preserve">Gain 13 block. Next turn, gain 7 block.</t>
  </si>
  <si>
    <t xml:space="preserve">Block column = 10 now + 5 next turn</t>
  </si>
  <si>
    <t xml:space="preserve">U14</t>
  </si>
  <si>
    <t xml:space="preserve">Catalyst</t>
  </si>
  <si>
    <t xml:space="preserve">Double an enemy's Poison. Exhaust.</t>
  </si>
  <si>
    <t xml:space="preserve">Triple an enemy's Poison. Exhaust.</t>
  </si>
  <si>
    <t xml:space="preserve">PLAYTEST: scales with existing Poison</t>
  </si>
  <si>
    <t xml:space="preserve">R01</t>
  </si>
  <si>
    <t xml:space="preserve">Thorn Armor</t>
  </si>
  <si>
    <t xml:space="preserve">Rare</t>
  </si>
  <si>
    <t xml:space="preserve">Whenever you gain block, deal 3 damage to a random enemy.</t>
  </si>
  <si>
    <t xml:space="preserve">Whenever you gain block, deal 5 damage to a random enemy.</t>
  </si>
  <si>
    <t xml:space="preserve">PLAYTEST: ~2 block cards per turn</t>
  </si>
  <si>
    <t xml:space="preserve">R02</t>
  </si>
  <si>
    <t xml:space="preserve">Adrenaline</t>
  </si>
  <si>
    <t xml:space="preserve">Gain 2 energy. Draw 1 card. Exhaust.</t>
  </si>
  <si>
    <t xml:space="preserve">Gain 2 energy. Draw 2 cards. Exhaust.</t>
  </si>
  <si>
    <t xml:space="preserve">R03</t>
  </si>
  <si>
    <t xml:space="preserve">Executioner's Axe</t>
  </si>
  <si>
    <t xml:space="preserve">Deal 18 damage. Deals double damage to enemies below half HP.</t>
  </si>
  <si>
    <t xml:space="preserve">Deal 22 damage. Deals double damage to enemies below half HP.</t>
  </si>
  <si>
    <t xml:space="preserve">Other: conditional double damage</t>
  </si>
  <si>
    <t xml:space="preserve">R04</t>
  </si>
  <si>
    <t xml:space="preserve">Black Plague</t>
  </si>
  <si>
    <t xml:space="preserve">At the start of your turn, apply 3 Poison to ALL enemies.</t>
  </si>
  <si>
    <t xml:space="preserve">At the start of your turn, apply 4 Poison to ALL enemies.</t>
  </si>
  <si>
    <t xml:space="preserve">PLAYTEST: stacking Poison every turn</t>
  </si>
  <si>
    <t xml:space="preserve">R05</t>
  </si>
  <si>
    <t xml:space="preserve">Phoenix Feather</t>
  </si>
  <si>
    <t xml:space="preserve">Gain 5 block. Heal 7 HP. Exhaust.</t>
  </si>
  <si>
    <t xml:space="preserve">Gain 7 block. Heal 10 HP. Exhaust.</t>
  </si>
  <si>
    <t xml:space="preserve">Best heal in the set</t>
  </si>
  <si>
    <t xml:space="preserve">R06</t>
  </si>
  <si>
    <t xml:space="preserve">Berserker Rage</t>
  </si>
  <si>
    <t xml:space="preserve">Gain 1 extra energy at the start of each turn.</t>
  </si>
  <si>
    <t xml:space="preserve">Costs 0. Gain 1 extra energy at the start of each turn.</t>
  </si>
  <si>
    <t xml:space="preserve">Energy engines are the strongest effect; watch closely</t>
  </si>
  <si>
    <t xml:space="preserve">Set Summary</t>
  </si>
  <si>
    <t xml:space="preserve">Total</t>
  </si>
  <si>
    <t xml:space="preserve">Balance status</t>
  </si>
  <si>
    <t xml:space="preserve">Balanced</t>
  </si>
  <si>
    <t xml:space="preserve">Over budget</t>
  </si>
  <si>
    <t xml:space="preserve">Under budget</t>
  </si>
  <si>
    <t xml:space="preserve">Starter (under on purpose)</t>
  </si>
  <si>
    <t xml:space="preserve">Starter deck</t>
  </si>
  <si>
    <t xml:space="preserve">Reward odds per card offered</t>
  </si>
  <si>
    <t xml:space="preserve">Keywords (show as tap-to-explain on cards)</t>
  </si>
  <si>
    <t xml:space="preserve">Keyword</t>
  </si>
  <si>
    <t xml:space="preserve">Rule</t>
  </si>
  <si>
    <t xml:space="preserve">Who implements</t>
  </si>
  <si>
    <t xml:space="preserve">Prevents damage. All block is removed at the start of your next turn.</t>
  </si>
  <si>
    <t xml:space="preserve">Role 1</t>
  </si>
  <si>
    <t xml:space="preserve">Restore HP, up to max HP.</t>
  </si>
  <si>
    <t xml:space="preserve">At the start of the poisoned creature's turn, it loses HP equal to its Poison, then Poison goes down by 1.</t>
  </si>
  <si>
    <t xml:space="preserve">Deals 25% less attack damage. Lasts the listed number of turns.</t>
  </si>
  <si>
    <t xml:space="preserve">Vulnerable</t>
  </si>
  <si>
    <t xml:space="preserve">Takes 50% more attack damage. Lasts the listed number of turns.</t>
  </si>
  <si>
    <t xml:space="preserve">Each attack hit deals +1 damage per Strength. Lasts the whole fight.</t>
  </si>
  <si>
    <t xml:space="preserve">Exhaust</t>
  </si>
  <si>
    <t xml:space="preserve">After playing, remove this card from your deck for the rest of the fight (it returns next fight).</t>
  </si>
  <si>
    <t xml:space="preserve">Role 2</t>
  </si>
  <si>
    <t xml:space="preserve">Stays in play for the rest of the fight instead of going to the discard pile.</t>
  </si>
  <si>
    <t xml:space="preserve">ALL enemies</t>
  </si>
  <si>
    <t xml:space="preserve">Hits every enemy in the fight.</t>
  </si>
  <si>
    <t xml:space="preserve">Intent</t>
  </si>
  <si>
    <t xml:space="preserve">Enemies show what they'll do next turn. Some cards (Parry) check it.</t>
  </si>
  <si>
    <t xml:space="preserve">Role 1 + Role 3</t>
  </si>
  <si>
    <t xml:space="preserve">Discard</t>
  </si>
  <si>
    <t xml:space="preserve">Choose a card from your hand to put in the discard pile.</t>
  </si>
  <si>
    <t xml:space="preserve">Role 2 + Role 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</si>
</sst>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CE5CD"/>
      </patternFill>
    </fill>
    <fill>
      <patternFill patternType="solid">
        <fgColor rgb="FF3B2F5C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3B2F5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FCE5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2F5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26.8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26.85" hidden="false" customHeight="false" outlineLevel="0" collapsed="false">
      <c r="A5" s="2" t="s">
        <v>3</v>
      </c>
    </row>
    <row r="6" customFormat="false" ht="26.85" hidden="false" customHeight="false" outlineLevel="0" collapsed="false">
      <c r="A6" s="2" t="s">
        <v>4</v>
      </c>
    </row>
    <row r="7" customFormat="false" ht="26.8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26.85" hidden="false" customHeight="false" outlineLevel="0" collapsed="false">
      <c r="A10" s="2" t="s">
        <v>7</v>
      </c>
    </row>
    <row r="11" customFormat="false" ht="26.8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" min="3" style="0" width="58"/>
  </cols>
  <sheetData>
    <row r="1" customFormat="false" ht="17.35" hidden="false" customHeight="false" outlineLevel="0" collapsed="false">
      <c r="A1" s="3" t="s">
        <v>10</v>
      </c>
    </row>
    <row r="2" customFormat="false" ht="15" hidden="false" customHeight="false" outlineLevel="0" collapsed="false">
      <c r="A2" s="4" t="s">
        <v>11</v>
      </c>
    </row>
    <row r="4" customFormat="false" ht="15" hidden="false" customHeight="false" outlineLevel="0" collapsed="false">
      <c r="A4" s="5" t="s">
        <v>12</v>
      </c>
    </row>
    <row r="5" customFormat="false" ht="15" hidden="false" customHeight="false" outlineLevel="0" collapsed="false">
      <c r="A5" s="6" t="s">
        <v>13</v>
      </c>
      <c r="B5" s="7" t="n">
        <v>70</v>
      </c>
      <c r="C5" s="8" t="s">
        <v>14</v>
      </c>
    </row>
    <row r="6" customFormat="false" ht="15" hidden="false" customHeight="false" outlineLevel="0" collapsed="false">
      <c r="A6" s="6" t="s">
        <v>15</v>
      </c>
      <c r="B6" s="7" t="n">
        <v>3</v>
      </c>
      <c r="C6" s="8"/>
    </row>
    <row r="7" customFormat="false" ht="15" hidden="false" customHeight="false" outlineLevel="0" collapsed="false">
      <c r="A7" s="6" t="s">
        <v>16</v>
      </c>
      <c r="B7" s="7" t="n">
        <v>5</v>
      </c>
      <c r="C7" s="8"/>
    </row>
    <row r="8" customFormat="false" ht="15" hidden="false" customHeight="false" outlineLevel="0" collapsed="false">
      <c r="A8" s="6" t="s">
        <v>17</v>
      </c>
      <c r="B8" s="7" t="n">
        <v>10</v>
      </c>
      <c r="C8" s="8" t="s">
        <v>18</v>
      </c>
    </row>
    <row r="9" customFormat="false" ht="15" hidden="false" customHeight="false" outlineLevel="0" collapsed="false">
      <c r="A9" s="6" t="s">
        <v>19</v>
      </c>
      <c r="B9" s="7" t="n">
        <v>12</v>
      </c>
      <c r="C9" s="8" t="s">
        <v>20</v>
      </c>
    </row>
    <row r="10" customFormat="false" ht="15" hidden="false" customHeight="false" outlineLevel="0" collapsed="false">
      <c r="A10" s="6" t="s">
        <v>21</v>
      </c>
      <c r="B10" s="7" t="n">
        <v>25</v>
      </c>
      <c r="C10" s="8"/>
    </row>
    <row r="11" customFormat="false" ht="15" hidden="false" customHeight="false" outlineLevel="0" collapsed="false">
      <c r="A11" s="6" t="s">
        <v>22</v>
      </c>
      <c r="B11" s="7" t="n">
        <v>40</v>
      </c>
      <c r="C11" s="8"/>
    </row>
    <row r="12" customFormat="false" ht="15" hidden="false" customHeight="false" outlineLevel="0" collapsed="false">
      <c r="A12" s="6" t="s">
        <v>23</v>
      </c>
      <c r="B12" s="7" t="n">
        <v>60</v>
      </c>
      <c r="C12" s="8"/>
    </row>
    <row r="13" customFormat="false" ht="15" hidden="false" customHeight="false" outlineLevel="0" collapsed="false">
      <c r="A13" s="6" t="s">
        <v>24</v>
      </c>
      <c r="B13" s="7" t="n">
        <v>130</v>
      </c>
      <c r="C13" s="8" t="s">
        <v>25</v>
      </c>
    </row>
    <row r="15" customFormat="false" ht="15" hidden="false" customHeight="false" outlineLevel="0" collapsed="false">
      <c r="A15" s="5" t="s">
        <v>26</v>
      </c>
    </row>
    <row r="16" customFormat="false" ht="15" hidden="false" customHeight="false" outlineLevel="0" collapsed="false">
      <c r="A16" s="6" t="s">
        <v>27</v>
      </c>
      <c r="B16" s="7" t="n">
        <v>6</v>
      </c>
      <c r="C16" s="8" t="s">
        <v>28</v>
      </c>
    </row>
    <row r="17" customFormat="false" ht="15" hidden="false" customHeight="false" outlineLevel="0" collapsed="false">
      <c r="A17" s="6" t="s">
        <v>29</v>
      </c>
      <c r="B17" s="7" t="n">
        <v>3</v>
      </c>
      <c r="C17" s="8" t="s">
        <v>30</v>
      </c>
    </row>
    <row r="18" customFormat="false" ht="15" hidden="false" customHeight="false" outlineLevel="0" collapsed="false">
      <c r="A18" s="6" t="s">
        <v>31</v>
      </c>
      <c r="B18" s="7" t="n">
        <v>0</v>
      </c>
      <c r="C18" s="8"/>
    </row>
    <row r="19" customFormat="false" ht="15" hidden="false" customHeight="false" outlineLevel="0" collapsed="false">
      <c r="A19" s="6" t="s">
        <v>32</v>
      </c>
      <c r="B19" s="7" t="n">
        <v>2</v>
      </c>
      <c r="C19" s="8"/>
    </row>
    <row r="20" customFormat="false" ht="15" hidden="false" customHeight="false" outlineLevel="0" collapsed="false">
      <c r="A20" s="6" t="s">
        <v>33</v>
      </c>
      <c r="B20" s="7" t="n">
        <v>4</v>
      </c>
      <c r="C20" s="8"/>
    </row>
    <row r="21" customFormat="false" ht="15" hidden="false" customHeight="false" outlineLevel="0" collapsed="false">
      <c r="A21" s="6" t="s">
        <v>34</v>
      </c>
      <c r="B21" s="7" t="n">
        <v>1.3</v>
      </c>
      <c r="C21" s="8" t="s">
        <v>35</v>
      </c>
    </row>
    <row r="22" customFormat="false" ht="15" hidden="false" customHeight="false" outlineLevel="0" collapsed="false">
      <c r="A22" s="6" t="s">
        <v>36</v>
      </c>
      <c r="B22" s="7" t="n">
        <v>2</v>
      </c>
      <c r="C22" s="8" t="s">
        <v>37</v>
      </c>
    </row>
    <row r="23" customFormat="false" ht="15" hidden="false" customHeight="false" outlineLevel="0" collapsed="false">
      <c r="A23" s="6" t="s">
        <v>38</v>
      </c>
      <c r="B23" s="7" t="n">
        <v>1.5</v>
      </c>
      <c r="C23" s="8" t="s">
        <v>39</v>
      </c>
    </row>
    <row r="24" customFormat="false" ht="15" hidden="false" customHeight="false" outlineLevel="0" collapsed="false">
      <c r="A24" s="6" t="s">
        <v>40</v>
      </c>
      <c r="B24" s="7" t="n">
        <v>1.5</v>
      </c>
      <c r="C24" s="8" t="s">
        <v>41</v>
      </c>
    </row>
    <row r="26" customFormat="false" ht="15" hidden="false" customHeight="false" outlineLevel="0" collapsed="false">
      <c r="A26" s="5" t="s">
        <v>42</v>
      </c>
    </row>
    <row r="27" customFormat="false" ht="15" hidden="false" customHeight="false" outlineLevel="0" collapsed="false">
      <c r="A27" s="6" t="s">
        <v>43</v>
      </c>
      <c r="B27" s="7" t="n">
        <v>1</v>
      </c>
      <c r="C27" s="8"/>
    </row>
    <row r="28" customFormat="false" ht="15" hidden="false" customHeight="false" outlineLevel="0" collapsed="false">
      <c r="A28" s="6" t="s">
        <v>44</v>
      </c>
      <c r="B28" s="7" t="n">
        <v>1.2</v>
      </c>
      <c r="C28" s="8" t="s">
        <v>45</v>
      </c>
    </row>
    <row r="29" customFormat="false" ht="15" hidden="false" customHeight="false" outlineLevel="0" collapsed="false">
      <c r="A29" s="6" t="s">
        <v>46</v>
      </c>
      <c r="B29" s="7" t="n">
        <v>1.5</v>
      </c>
      <c r="C29" s="8" t="s">
        <v>47</v>
      </c>
    </row>
    <row r="30" customFormat="false" ht="15" hidden="false" customHeight="false" outlineLevel="0" collapsed="false">
      <c r="A30" s="6" t="s">
        <v>48</v>
      </c>
      <c r="B30" s="7" t="n">
        <v>4</v>
      </c>
      <c r="C30" s="8"/>
    </row>
    <row r="31" customFormat="false" ht="15" hidden="false" customHeight="false" outlineLevel="0" collapsed="false">
      <c r="A31" s="6" t="s">
        <v>49</v>
      </c>
      <c r="B31" s="7" t="n">
        <v>6</v>
      </c>
      <c r="C31" s="8"/>
    </row>
    <row r="32" customFormat="false" ht="15" hidden="false" customHeight="false" outlineLevel="0" collapsed="false">
      <c r="A32" s="6" t="s">
        <v>50</v>
      </c>
      <c r="B32" s="7" t="n">
        <v>3</v>
      </c>
      <c r="C32" s="8" t="s">
        <v>51</v>
      </c>
    </row>
    <row r="33" customFormat="false" ht="15" hidden="false" customHeight="false" outlineLevel="0" collapsed="false">
      <c r="A33" s="6" t="s">
        <v>52</v>
      </c>
      <c r="B33" s="7" t="n">
        <v>3</v>
      </c>
      <c r="C33" s="8" t="s">
        <v>53</v>
      </c>
    </row>
    <row r="34" customFormat="false" ht="15" hidden="false" customHeight="false" outlineLevel="0" collapsed="false">
      <c r="A34" s="6" t="s">
        <v>54</v>
      </c>
      <c r="B34" s="7" t="n">
        <v>1.5</v>
      </c>
      <c r="C34" s="8"/>
    </row>
    <row r="35" customFormat="false" ht="15" hidden="false" customHeight="false" outlineLevel="0" collapsed="false">
      <c r="A35" s="6" t="s">
        <v>55</v>
      </c>
      <c r="B35" s="7" t="n">
        <v>4</v>
      </c>
      <c r="C35" s="8" t="s">
        <v>56</v>
      </c>
    </row>
    <row r="36" customFormat="false" ht="15" hidden="false" customHeight="false" outlineLevel="0" collapsed="false">
      <c r="A36" s="6" t="s">
        <v>57</v>
      </c>
      <c r="B36" s="7" t="n">
        <v>1.5</v>
      </c>
      <c r="C36" s="8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9"/>
    <col collapsed="false" customWidth="true" hidden="false" outlineLevel="0" max="4" min="4" style="0" width="6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8" min="7" style="0" width="40"/>
    <col collapsed="false" customWidth="true" hidden="false" outlineLevel="0" max="22" min="9" style="0" width="8"/>
    <col collapsed="false" customWidth="true" hidden="false" outlineLevel="0" max="23" min="23" style="0" width="34"/>
    <col collapsed="false" customWidth="true" hidden="false" outlineLevel="0" max="25" min="24" style="0" width="8"/>
    <col collapsed="false" customWidth="true" hidden="false" outlineLevel="0" max="26" min="26" style="0" width="10"/>
    <col collapsed="false" customWidth="true" hidden="false" outlineLevel="0" max="27" min="27" style="0" width="22"/>
  </cols>
  <sheetData>
    <row r="1" customFormat="false" ht="31.5" hidden="false" customHeight="true" outlineLevel="0" collapsed="false">
      <c r="A1" s="9" t="s">
        <v>59</v>
      </c>
      <c r="B1" s="9" t="s">
        <v>60</v>
      </c>
      <c r="C1" s="9" t="s">
        <v>61</v>
      </c>
      <c r="D1" s="9" t="s">
        <v>62</v>
      </c>
      <c r="E1" s="9" t="s">
        <v>63</v>
      </c>
      <c r="F1" s="9" t="s">
        <v>64</v>
      </c>
      <c r="G1" s="9" t="s">
        <v>65</v>
      </c>
      <c r="H1" s="9" t="s">
        <v>66</v>
      </c>
      <c r="I1" s="9" t="s">
        <v>43</v>
      </c>
      <c r="J1" s="9" t="s">
        <v>67</v>
      </c>
      <c r="K1" s="9" t="s">
        <v>44</v>
      </c>
      <c r="L1" s="9" t="s">
        <v>46</v>
      </c>
      <c r="M1" s="9" t="s">
        <v>48</v>
      </c>
      <c r="N1" s="9" t="s">
        <v>49</v>
      </c>
      <c r="O1" s="9" t="s">
        <v>68</v>
      </c>
      <c r="P1" s="9" t="s">
        <v>69</v>
      </c>
      <c r="Q1" s="9" t="s">
        <v>70</v>
      </c>
      <c r="R1" s="9" t="s">
        <v>71</v>
      </c>
      <c r="S1" s="9" t="s">
        <v>72</v>
      </c>
      <c r="T1" s="9" t="s">
        <v>73</v>
      </c>
      <c r="U1" s="9" t="s">
        <v>74</v>
      </c>
      <c r="V1" s="9" t="s">
        <v>75</v>
      </c>
      <c r="W1" s="9" t="s">
        <v>76</v>
      </c>
      <c r="X1" s="9" t="s">
        <v>77</v>
      </c>
      <c r="Y1" s="9" t="s">
        <v>78</v>
      </c>
      <c r="Z1" s="9" t="s">
        <v>79</v>
      </c>
      <c r="AA1" s="9" t="s">
        <v>80</v>
      </c>
    </row>
    <row r="2" customFormat="false" ht="15" hidden="false" customHeight="false" outlineLevel="0" collapsed="false">
      <c r="A2" s="10" t="s">
        <v>81</v>
      </c>
      <c r="B2" s="10" t="s">
        <v>82</v>
      </c>
      <c r="C2" s="10" t="s">
        <v>83</v>
      </c>
      <c r="D2" s="10" t="n">
        <v>1</v>
      </c>
      <c r="E2" s="10" t="s">
        <v>84</v>
      </c>
      <c r="F2" s="10" t="s">
        <v>85</v>
      </c>
      <c r="G2" s="11" t="s">
        <v>86</v>
      </c>
      <c r="H2" s="11" t="s">
        <v>87</v>
      </c>
      <c r="I2" s="12" t="n">
        <v>6</v>
      </c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1" t="s">
        <v>88</v>
      </c>
      <c r="X2" s="10" t="n">
        <f aca="false">ROUND((I2*Rules!$B$27+J2*Rules!$B$27*Rules!$B$23+K2*Rules!$B$28+L2*Rules!$B$29+M2*Rules!$B$30+N2*Rules!$B$31+(O2*Rules!$B$32+P2*Rules!$B$33+Q2*Rules!$B$34)*IF(R2="Y",Rules!$B$23,1)+S2*Rules!$B$35-T2*Rules!$B$36+V2)*IF(C2="Power",Rules!$B$22,1),2)</f>
        <v>6</v>
      </c>
      <c r="Y2" s="10" t="n">
        <f aca="false">ROUND((D2*Rules!$B$16+Rules!$B$17+IF(E2="Uncommon",Rules!$B$19,IF(E2="Rare",Rules!$B$20,Rules!$B$18)))*IF(U2="Y",Rules!$B$21,1),2)</f>
        <v>9</v>
      </c>
      <c r="Z2" s="10" t="n">
        <f aca="false">X2-Y2</f>
        <v>-3</v>
      </c>
      <c r="AA2" s="10" t="str">
        <f aca="false">IF(E2="Starter",IF(Z2&lt;0,"Starter (under on purpose)","Starter too strong"),IF(ABS(Z2)&lt;=Rules!$B$24,"Balanced",IF(Z2&gt;0,"Over budget","Under budget")))</f>
        <v>Starter (under on purpose)</v>
      </c>
    </row>
    <row r="3" customFormat="false" ht="15" hidden="false" customHeight="false" outlineLevel="0" collapsed="false">
      <c r="A3" s="10" t="s">
        <v>89</v>
      </c>
      <c r="B3" s="10" t="s">
        <v>90</v>
      </c>
      <c r="C3" s="10" t="s">
        <v>91</v>
      </c>
      <c r="D3" s="10" t="n">
        <v>1</v>
      </c>
      <c r="E3" s="10" t="s">
        <v>84</v>
      </c>
      <c r="F3" s="10" t="s">
        <v>85</v>
      </c>
      <c r="G3" s="11" t="s">
        <v>92</v>
      </c>
      <c r="H3" s="11" t="s">
        <v>93</v>
      </c>
      <c r="I3" s="12"/>
      <c r="J3" s="12"/>
      <c r="K3" s="12" t="n">
        <v>5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1" t="s">
        <v>94</v>
      </c>
      <c r="X3" s="10" t="n">
        <f aca="false">ROUND((I3*Rules!$B$27+J3*Rules!$B$27*Rules!$B$23+K3*Rules!$B$28+L3*Rules!$B$29+M3*Rules!$B$30+N3*Rules!$B$31+(O3*Rules!$B$32+P3*Rules!$B$33+Q3*Rules!$B$34)*IF(R3="Y",Rules!$B$23,1)+S3*Rules!$B$35-T3*Rules!$B$36+V3)*IF(C3="Power",Rules!$B$22,1),2)</f>
        <v>6</v>
      </c>
      <c r="Y3" s="10" t="n">
        <f aca="false">ROUND((D3*Rules!$B$16+Rules!$B$17+IF(E3="Uncommon",Rules!$B$19,IF(E3="Rare",Rules!$B$20,Rules!$B$18)))*IF(U3="Y",Rules!$B$21,1),2)</f>
        <v>9</v>
      </c>
      <c r="Z3" s="10" t="n">
        <f aca="false">X3-Y3</f>
        <v>-3</v>
      </c>
      <c r="AA3" s="10" t="str">
        <f aca="false">IF(E3="Starter",IF(Z3&lt;0,"Starter (under on purpose)","Starter too strong"),IF(ABS(Z3)&lt;=Rules!$B$24,"Balanced",IF(Z3&gt;0,"Over budget","Under budget")))</f>
        <v>Starter (under on purpose)</v>
      </c>
    </row>
    <row r="4" customFormat="false" ht="15" hidden="false" customHeight="false" outlineLevel="0" collapsed="false">
      <c r="A4" s="10" t="s">
        <v>95</v>
      </c>
      <c r="B4" s="10" t="s">
        <v>96</v>
      </c>
      <c r="C4" s="10" t="s">
        <v>83</v>
      </c>
      <c r="D4" s="10" t="n">
        <v>1</v>
      </c>
      <c r="E4" s="10" t="s">
        <v>84</v>
      </c>
      <c r="F4" s="10" t="s">
        <v>85</v>
      </c>
      <c r="G4" s="11" t="s">
        <v>97</v>
      </c>
      <c r="H4" s="11" t="s">
        <v>98</v>
      </c>
      <c r="I4" s="12" t="n">
        <v>5</v>
      </c>
      <c r="J4" s="12"/>
      <c r="K4" s="12"/>
      <c r="L4" s="12"/>
      <c r="M4" s="12"/>
      <c r="N4" s="12"/>
      <c r="O4" s="12"/>
      <c r="P4" s="12" t="n">
        <v>1</v>
      </c>
      <c r="Q4" s="12"/>
      <c r="R4" s="12"/>
      <c r="S4" s="12"/>
      <c r="T4" s="12"/>
      <c r="U4" s="12"/>
      <c r="V4" s="12"/>
      <c r="W4" s="11" t="s">
        <v>99</v>
      </c>
      <c r="X4" s="10" t="n">
        <f aca="false">ROUND((I4*Rules!$B$27+J4*Rules!$B$27*Rules!$B$23+K4*Rules!$B$28+L4*Rules!$B$29+M4*Rules!$B$30+N4*Rules!$B$31+(O4*Rules!$B$32+P4*Rules!$B$33+Q4*Rules!$B$34)*IF(R4="Y",Rules!$B$23,1)+S4*Rules!$B$35-T4*Rules!$B$36+V4)*IF(C4="Power",Rules!$B$22,1),2)</f>
        <v>8</v>
      </c>
      <c r="Y4" s="10" t="n">
        <f aca="false">ROUND((D4*Rules!$B$16+Rules!$B$17+IF(E4="Uncommon",Rules!$B$19,IF(E4="Rare",Rules!$B$20,Rules!$B$18)))*IF(U4="Y",Rules!$B$21,1),2)</f>
        <v>9</v>
      </c>
      <c r="Z4" s="10" t="n">
        <f aca="false">X4-Y4</f>
        <v>-1</v>
      </c>
      <c r="AA4" s="10" t="str">
        <f aca="false">IF(E4="Starter",IF(Z4&lt;0,"Starter (under on purpose)","Starter too strong"),IF(ABS(Z4)&lt;=Rules!$B$24,"Balanced",IF(Z4&gt;0,"Over budget","Under budget")))</f>
        <v>Starter (under on purpose)</v>
      </c>
    </row>
    <row r="5" customFormat="false" ht="15" hidden="false" customHeight="false" outlineLevel="0" collapsed="false">
      <c r="A5" s="10" t="s">
        <v>100</v>
      </c>
      <c r="B5" s="10" t="s">
        <v>101</v>
      </c>
      <c r="C5" s="10" t="s">
        <v>83</v>
      </c>
      <c r="D5" s="10" t="n">
        <v>1</v>
      </c>
      <c r="E5" s="10" t="s">
        <v>102</v>
      </c>
      <c r="F5" s="10" t="s">
        <v>85</v>
      </c>
      <c r="G5" s="11" t="s">
        <v>87</v>
      </c>
      <c r="H5" s="11" t="s">
        <v>103</v>
      </c>
      <c r="I5" s="12" t="n">
        <v>9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1"/>
      <c r="X5" s="10" t="n">
        <f aca="false">ROUND((I5*Rules!$B$27+J5*Rules!$B$27*Rules!$B$23+K5*Rules!$B$28+L5*Rules!$B$29+M5*Rules!$B$30+N5*Rules!$B$31+(O5*Rules!$B$32+P5*Rules!$B$33+Q5*Rules!$B$34)*IF(R5="Y",Rules!$B$23,1)+S5*Rules!$B$35-T5*Rules!$B$36+V5)*IF(C5="Power",Rules!$B$22,1),2)</f>
        <v>9</v>
      </c>
      <c r="Y5" s="10" t="n">
        <f aca="false">ROUND((D5*Rules!$B$16+Rules!$B$17+IF(E5="Uncommon",Rules!$B$19,IF(E5="Rare",Rules!$B$20,Rules!$B$18)))*IF(U5="Y",Rules!$B$21,1),2)</f>
        <v>9</v>
      </c>
      <c r="Z5" s="10" t="n">
        <f aca="false">X5-Y5</f>
        <v>0</v>
      </c>
      <c r="AA5" s="10" t="str">
        <f aca="false">IF(E5="Starter",IF(Z5&lt;0,"Starter (under on purpose)","Starter too strong"),IF(ABS(Z5)&lt;=Rules!$B$24,"Balanced",IF(Z5&gt;0,"Over budget","Under budget")))</f>
        <v>Balanced</v>
      </c>
    </row>
    <row r="6" customFormat="false" ht="15" hidden="false" customHeight="false" outlineLevel="0" collapsed="false">
      <c r="A6" s="10" t="s">
        <v>104</v>
      </c>
      <c r="B6" s="10" t="s">
        <v>105</v>
      </c>
      <c r="C6" s="10" t="s">
        <v>83</v>
      </c>
      <c r="D6" s="10" t="n">
        <v>0</v>
      </c>
      <c r="E6" s="10" t="s">
        <v>102</v>
      </c>
      <c r="F6" s="10" t="s">
        <v>106</v>
      </c>
      <c r="G6" s="11" t="s">
        <v>107</v>
      </c>
      <c r="H6" s="11" t="s">
        <v>108</v>
      </c>
      <c r="I6" s="12" t="n">
        <v>3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1" t="s">
        <v>109</v>
      </c>
      <c r="X6" s="10" t="n">
        <f aca="false">ROUND((I6*Rules!$B$27+J6*Rules!$B$27*Rules!$B$23+K6*Rules!$B$28+L6*Rules!$B$29+M6*Rules!$B$30+N6*Rules!$B$31+(O6*Rules!$B$32+P6*Rules!$B$33+Q6*Rules!$B$34)*IF(R6="Y",Rules!$B$23,1)+S6*Rules!$B$35-T6*Rules!$B$36+V6)*IF(C6="Power",Rules!$B$22,1),2)</f>
        <v>3</v>
      </c>
      <c r="Y6" s="10" t="n">
        <f aca="false">ROUND((D6*Rules!$B$16+Rules!$B$17+IF(E6="Uncommon",Rules!$B$19,IF(E6="Rare",Rules!$B$20,Rules!$B$18)))*IF(U6="Y",Rules!$B$21,1),2)</f>
        <v>3</v>
      </c>
      <c r="Z6" s="10" t="n">
        <f aca="false">X6-Y6</f>
        <v>0</v>
      </c>
      <c r="AA6" s="10" t="str">
        <f aca="false">IF(E6="Starter",IF(Z6&lt;0,"Starter (under on purpose)","Starter too strong"),IF(ABS(Z6)&lt;=Rules!$B$24,"Balanced",IF(Z6&gt;0,"Over budget","Under budget")))</f>
        <v>Balanced</v>
      </c>
    </row>
    <row r="7" customFormat="false" ht="15" hidden="false" customHeight="false" outlineLevel="0" collapsed="false">
      <c r="A7" s="10" t="s">
        <v>110</v>
      </c>
      <c r="B7" s="10" t="s">
        <v>111</v>
      </c>
      <c r="C7" s="10" t="s">
        <v>83</v>
      </c>
      <c r="D7" s="10" t="n">
        <v>1</v>
      </c>
      <c r="E7" s="10" t="s">
        <v>102</v>
      </c>
      <c r="F7" s="10" t="s">
        <v>85</v>
      </c>
      <c r="G7" s="11" t="s">
        <v>112</v>
      </c>
      <c r="H7" s="11" t="s">
        <v>113</v>
      </c>
      <c r="I7" s="12"/>
      <c r="J7" s="12" t="n">
        <v>6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1"/>
      <c r="X7" s="10" t="n">
        <f aca="false">ROUND((I7*Rules!$B$27+J7*Rules!$B$27*Rules!$B$23+K7*Rules!$B$28+L7*Rules!$B$29+M7*Rules!$B$30+N7*Rules!$B$31+(O7*Rules!$B$32+P7*Rules!$B$33+Q7*Rules!$B$34)*IF(R7="Y",Rules!$B$23,1)+S7*Rules!$B$35-T7*Rules!$B$36+V7)*IF(C7="Power",Rules!$B$22,1),2)</f>
        <v>9</v>
      </c>
      <c r="Y7" s="10" t="n">
        <f aca="false">ROUND((D7*Rules!$B$16+Rules!$B$17+IF(E7="Uncommon",Rules!$B$19,IF(E7="Rare",Rules!$B$20,Rules!$B$18)))*IF(U7="Y",Rules!$B$21,1),2)</f>
        <v>9</v>
      </c>
      <c r="Z7" s="10" t="n">
        <f aca="false">X7-Y7</f>
        <v>0</v>
      </c>
      <c r="AA7" s="10" t="str">
        <f aca="false">IF(E7="Starter",IF(Z7&lt;0,"Starter (under on purpose)","Starter too strong"),IF(ABS(Z7)&lt;=Rules!$B$24,"Balanced",IF(Z7&gt;0,"Over budget","Under budget")))</f>
        <v>Balanced</v>
      </c>
    </row>
    <row r="8" customFormat="false" ht="15" hidden="false" customHeight="false" outlineLevel="0" collapsed="false">
      <c r="A8" s="10" t="s">
        <v>114</v>
      </c>
      <c r="B8" s="10" t="s">
        <v>115</v>
      </c>
      <c r="C8" s="10" t="s">
        <v>83</v>
      </c>
      <c r="D8" s="10" t="n">
        <v>2</v>
      </c>
      <c r="E8" s="10" t="s">
        <v>102</v>
      </c>
      <c r="F8" s="10" t="s">
        <v>106</v>
      </c>
      <c r="G8" s="11" t="s">
        <v>116</v>
      </c>
      <c r="H8" s="11" t="s">
        <v>117</v>
      </c>
      <c r="I8" s="12" t="n">
        <v>15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1"/>
      <c r="X8" s="10" t="n">
        <f aca="false">ROUND((I8*Rules!$B$27+J8*Rules!$B$27*Rules!$B$23+K8*Rules!$B$28+L8*Rules!$B$29+M8*Rules!$B$30+N8*Rules!$B$31+(O8*Rules!$B$32+P8*Rules!$B$33+Q8*Rules!$B$34)*IF(R8="Y",Rules!$B$23,1)+S8*Rules!$B$35-T8*Rules!$B$36+V8)*IF(C8="Power",Rules!$B$22,1),2)</f>
        <v>15</v>
      </c>
      <c r="Y8" s="10" t="n">
        <f aca="false">ROUND((D8*Rules!$B$16+Rules!$B$17+IF(E8="Uncommon",Rules!$B$19,IF(E8="Rare",Rules!$B$20,Rules!$B$18)))*IF(U8="Y",Rules!$B$21,1),2)</f>
        <v>15</v>
      </c>
      <c r="Z8" s="10" t="n">
        <f aca="false">X8-Y8</f>
        <v>0</v>
      </c>
      <c r="AA8" s="10" t="str">
        <f aca="false">IF(E8="Starter",IF(Z8&lt;0,"Starter (under on purpose)","Starter too strong"),IF(ABS(Z8)&lt;=Rules!$B$24,"Balanced",IF(Z8&gt;0,"Over budget","Under budget")))</f>
        <v>Balanced</v>
      </c>
    </row>
    <row r="9" customFormat="false" ht="26.85" hidden="false" customHeight="false" outlineLevel="0" collapsed="false">
      <c r="A9" s="10" t="s">
        <v>118</v>
      </c>
      <c r="B9" s="10" t="s">
        <v>119</v>
      </c>
      <c r="C9" s="10" t="s">
        <v>83</v>
      </c>
      <c r="D9" s="10" t="n">
        <v>1</v>
      </c>
      <c r="E9" s="10" t="s">
        <v>102</v>
      </c>
      <c r="F9" s="10" t="s">
        <v>106</v>
      </c>
      <c r="G9" s="11" t="s">
        <v>120</v>
      </c>
      <c r="H9" s="11" t="s">
        <v>121</v>
      </c>
      <c r="I9" s="12" t="n">
        <v>8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 t="n">
        <v>1</v>
      </c>
      <c r="W9" s="11" t="s">
        <v>122</v>
      </c>
      <c r="X9" s="10" t="n">
        <f aca="false">ROUND((I9*Rules!$B$27+J9*Rules!$B$27*Rules!$B$23+K9*Rules!$B$28+L9*Rules!$B$29+M9*Rules!$B$30+N9*Rules!$B$31+(O9*Rules!$B$32+P9*Rules!$B$33+Q9*Rules!$B$34)*IF(R9="Y",Rules!$B$23,1)+S9*Rules!$B$35-T9*Rules!$B$36+V9)*IF(C9="Power",Rules!$B$22,1),2)</f>
        <v>9</v>
      </c>
      <c r="Y9" s="10" t="n">
        <f aca="false">ROUND((D9*Rules!$B$16+Rules!$B$17+IF(E9="Uncommon",Rules!$B$19,IF(E9="Rare",Rules!$B$20,Rules!$B$18)))*IF(U9="Y",Rules!$B$21,1),2)</f>
        <v>9</v>
      </c>
      <c r="Z9" s="10" t="n">
        <f aca="false">X9-Y9</f>
        <v>0</v>
      </c>
      <c r="AA9" s="10" t="str">
        <f aca="false">IF(E9="Starter",IF(Z9&lt;0,"Starter (under on purpose)","Starter too strong"),IF(ABS(Z9)&lt;=Rules!$B$24,"Balanced",IF(Z9&gt;0,"Over budget","Under budget")))</f>
        <v>Balanced</v>
      </c>
    </row>
    <row r="10" customFormat="false" ht="15" hidden="false" customHeight="false" outlineLevel="0" collapsed="false">
      <c r="A10" s="10" t="s">
        <v>123</v>
      </c>
      <c r="B10" s="10" t="s">
        <v>124</v>
      </c>
      <c r="C10" s="10" t="s">
        <v>83</v>
      </c>
      <c r="D10" s="10" t="n">
        <v>1</v>
      </c>
      <c r="E10" s="10" t="s">
        <v>102</v>
      </c>
      <c r="F10" s="10" t="s">
        <v>125</v>
      </c>
      <c r="G10" s="11" t="s">
        <v>126</v>
      </c>
      <c r="H10" s="11" t="s">
        <v>127</v>
      </c>
      <c r="I10" s="12" t="n">
        <v>3</v>
      </c>
      <c r="J10" s="12"/>
      <c r="K10" s="12"/>
      <c r="L10" s="12"/>
      <c r="M10" s="12"/>
      <c r="N10" s="12"/>
      <c r="O10" s="12"/>
      <c r="P10" s="12"/>
      <c r="Q10" s="12" t="n">
        <v>4</v>
      </c>
      <c r="R10" s="12"/>
      <c r="S10" s="12"/>
      <c r="T10" s="12"/>
      <c r="U10" s="12"/>
      <c r="V10" s="12"/>
      <c r="W10" s="11"/>
      <c r="X10" s="10" t="n">
        <f aca="false">ROUND((I10*Rules!$B$27+J10*Rules!$B$27*Rules!$B$23+K10*Rules!$B$28+L10*Rules!$B$29+M10*Rules!$B$30+N10*Rules!$B$31+(O10*Rules!$B$32+P10*Rules!$B$33+Q10*Rules!$B$34)*IF(R10="Y",Rules!$B$23,1)+S10*Rules!$B$35-T10*Rules!$B$36+V10)*IF(C10="Power",Rules!$B$22,1),2)</f>
        <v>9</v>
      </c>
      <c r="Y10" s="10" t="n">
        <f aca="false">ROUND((D10*Rules!$B$16+Rules!$B$17+IF(E10="Uncommon",Rules!$B$19,IF(E10="Rare",Rules!$B$20,Rules!$B$18)))*IF(U10="Y",Rules!$B$21,1),2)</f>
        <v>9</v>
      </c>
      <c r="Z10" s="10" t="n">
        <f aca="false">X10-Y10</f>
        <v>0</v>
      </c>
      <c r="AA10" s="10" t="str">
        <f aca="false">IF(E10="Starter",IF(Z10&lt;0,"Starter (under on purpose)","Starter too strong"),IF(ABS(Z10)&lt;=Rules!$B$24,"Balanced",IF(Z10&gt;0,"Over budget","Under budget")))</f>
        <v>Balanced</v>
      </c>
    </row>
    <row r="11" customFormat="false" ht="15" hidden="false" customHeight="false" outlineLevel="0" collapsed="false">
      <c r="A11" s="10" t="s">
        <v>128</v>
      </c>
      <c r="B11" s="10" t="s">
        <v>129</v>
      </c>
      <c r="C11" s="10" t="s">
        <v>83</v>
      </c>
      <c r="D11" s="10" t="n">
        <v>1</v>
      </c>
      <c r="E11" s="10" t="s">
        <v>102</v>
      </c>
      <c r="F11" s="10" t="s">
        <v>130</v>
      </c>
      <c r="G11" s="11" t="s">
        <v>131</v>
      </c>
      <c r="H11" s="11" t="s">
        <v>132</v>
      </c>
      <c r="I11" s="12" t="n">
        <v>4</v>
      </c>
      <c r="J11" s="12"/>
      <c r="K11" s="12" t="n">
        <v>4</v>
      </c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1"/>
      <c r="X11" s="10" t="n">
        <f aca="false">ROUND((I11*Rules!$B$27+J11*Rules!$B$27*Rules!$B$23+K11*Rules!$B$28+L11*Rules!$B$29+M11*Rules!$B$30+N11*Rules!$B$31+(O11*Rules!$B$32+P11*Rules!$B$33+Q11*Rules!$B$34)*IF(R11="Y",Rules!$B$23,1)+S11*Rules!$B$35-T11*Rules!$B$36+V11)*IF(C11="Power",Rules!$B$22,1),2)</f>
        <v>8.8</v>
      </c>
      <c r="Y11" s="10" t="n">
        <f aca="false">ROUND((D11*Rules!$B$16+Rules!$B$17+IF(E11="Uncommon",Rules!$B$19,IF(E11="Rare",Rules!$B$20,Rules!$B$18)))*IF(U11="Y",Rules!$B$21,1),2)</f>
        <v>9</v>
      </c>
      <c r="Z11" s="10" t="n">
        <f aca="false">X11-Y11</f>
        <v>-0.199999999999999</v>
      </c>
      <c r="AA11" s="10" t="str">
        <f aca="false">IF(E11="Starter",IF(Z11&lt;0,"Starter (under on purpose)","Starter too strong"),IF(ABS(Z11)&lt;=Rules!$B$24,"Balanced",IF(Z11&gt;0,"Over budget","Under budget")))</f>
        <v>Balanced</v>
      </c>
    </row>
    <row r="12" customFormat="false" ht="15" hidden="false" customHeight="false" outlineLevel="0" collapsed="false">
      <c r="A12" s="10" t="s">
        <v>133</v>
      </c>
      <c r="B12" s="10" t="s">
        <v>134</v>
      </c>
      <c r="C12" s="10" t="s">
        <v>91</v>
      </c>
      <c r="D12" s="10" t="n">
        <v>0</v>
      </c>
      <c r="E12" s="10" t="s">
        <v>102</v>
      </c>
      <c r="F12" s="10" t="s">
        <v>125</v>
      </c>
      <c r="G12" s="11" t="s">
        <v>135</v>
      </c>
      <c r="H12" s="11" t="s">
        <v>136</v>
      </c>
      <c r="I12" s="12"/>
      <c r="J12" s="12"/>
      <c r="K12" s="12"/>
      <c r="L12" s="12"/>
      <c r="M12" s="12"/>
      <c r="N12" s="12"/>
      <c r="O12" s="12"/>
      <c r="P12" s="12"/>
      <c r="Q12" s="12" t="n">
        <v>2</v>
      </c>
      <c r="R12" s="12"/>
      <c r="S12" s="12"/>
      <c r="T12" s="12"/>
      <c r="U12" s="12"/>
      <c r="V12" s="12"/>
      <c r="W12" s="11"/>
      <c r="X12" s="10" t="n">
        <f aca="false">ROUND((I12*Rules!$B$27+J12*Rules!$B$27*Rules!$B$23+K12*Rules!$B$28+L12*Rules!$B$29+M12*Rules!$B$30+N12*Rules!$B$31+(O12*Rules!$B$32+P12*Rules!$B$33+Q12*Rules!$B$34)*IF(R12="Y",Rules!$B$23,1)+S12*Rules!$B$35-T12*Rules!$B$36+V12)*IF(C12="Power",Rules!$B$22,1),2)</f>
        <v>3</v>
      </c>
      <c r="Y12" s="10" t="n">
        <f aca="false">ROUND((D12*Rules!$B$16+Rules!$B$17+IF(E12="Uncommon",Rules!$B$19,IF(E12="Rare",Rules!$B$20,Rules!$B$18)))*IF(U12="Y",Rules!$B$21,1),2)</f>
        <v>3</v>
      </c>
      <c r="Z12" s="10" t="n">
        <f aca="false">X12-Y12</f>
        <v>0</v>
      </c>
      <c r="AA12" s="10" t="str">
        <f aca="false">IF(E12="Starter",IF(Z12&lt;0,"Starter (under on purpose)","Starter too strong"),IF(ABS(Z12)&lt;=Rules!$B$24,"Balanced",IF(Z12&gt;0,"Over budget","Under budget")))</f>
        <v>Balanced</v>
      </c>
    </row>
    <row r="13" customFormat="false" ht="15" hidden="false" customHeight="false" outlineLevel="0" collapsed="false">
      <c r="A13" s="10" t="s">
        <v>137</v>
      </c>
      <c r="B13" s="10" t="s">
        <v>138</v>
      </c>
      <c r="C13" s="10" t="s">
        <v>83</v>
      </c>
      <c r="D13" s="10" t="n">
        <v>1</v>
      </c>
      <c r="E13" s="10" t="s">
        <v>102</v>
      </c>
      <c r="F13" s="10" t="s">
        <v>139</v>
      </c>
      <c r="G13" s="11" t="s">
        <v>140</v>
      </c>
      <c r="H13" s="11" t="s">
        <v>141</v>
      </c>
      <c r="I13" s="12" t="n">
        <v>5</v>
      </c>
      <c r="J13" s="12"/>
      <c r="K13" s="12"/>
      <c r="L13" s="12"/>
      <c r="M13" s="12" t="n">
        <v>1</v>
      </c>
      <c r="N13" s="12"/>
      <c r="O13" s="12"/>
      <c r="P13" s="12"/>
      <c r="Q13" s="12"/>
      <c r="R13" s="12"/>
      <c r="S13" s="12"/>
      <c r="T13" s="12"/>
      <c r="U13" s="12"/>
      <c r="V13" s="12"/>
      <c r="W13" s="11"/>
      <c r="X13" s="10" t="n">
        <f aca="false">ROUND((I13*Rules!$B$27+J13*Rules!$B$27*Rules!$B$23+K13*Rules!$B$28+L13*Rules!$B$29+M13*Rules!$B$30+N13*Rules!$B$31+(O13*Rules!$B$32+P13*Rules!$B$33+Q13*Rules!$B$34)*IF(R13="Y",Rules!$B$23,1)+S13*Rules!$B$35-T13*Rules!$B$36+V13)*IF(C13="Power",Rules!$B$22,1),2)</f>
        <v>9</v>
      </c>
      <c r="Y13" s="10" t="n">
        <f aca="false">ROUND((D13*Rules!$B$16+Rules!$B$17+IF(E13="Uncommon",Rules!$B$19,IF(E13="Rare",Rules!$B$20,Rules!$B$18)))*IF(U13="Y",Rules!$B$21,1),2)</f>
        <v>9</v>
      </c>
      <c r="Z13" s="10" t="n">
        <f aca="false">X13-Y13</f>
        <v>0</v>
      </c>
      <c r="AA13" s="10" t="str">
        <f aca="false">IF(E13="Starter",IF(Z13&lt;0,"Starter (under on purpose)","Starter too strong"),IF(ABS(Z13)&lt;=Rules!$B$24,"Balanced",IF(Z13&gt;0,"Over budget","Under budget")))</f>
        <v>Balanced</v>
      </c>
    </row>
    <row r="14" customFormat="false" ht="15" hidden="false" customHeight="false" outlineLevel="0" collapsed="false">
      <c r="A14" s="10" t="s">
        <v>142</v>
      </c>
      <c r="B14" s="10" t="s">
        <v>143</v>
      </c>
      <c r="C14" s="10" t="s">
        <v>83</v>
      </c>
      <c r="D14" s="10" t="n">
        <v>1</v>
      </c>
      <c r="E14" s="10" t="s">
        <v>102</v>
      </c>
      <c r="F14" s="10" t="s">
        <v>139</v>
      </c>
      <c r="G14" s="11" t="s">
        <v>144</v>
      </c>
      <c r="H14" s="11" t="s">
        <v>145</v>
      </c>
      <c r="I14" s="12" t="n">
        <v>6</v>
      </c>
      <c r="J14" s="12"/>
      <c r="K14" s="12"/>
      <c r="L14" s="12"/>
      <c r="M14" s="12"/>
      <c r="N14" s="12"/>
      <c r="O14" s="12"/>
      <c r="P14" s="12" t="n">
        <v>1</v>
      </c>
      <c r="Q14" s="12"/>
      <c r="R14" s="12"/>
      <c r="S14" s="12"/>
      <c r="T14" s="12"/>
      <c r="U14" s="12"/>
      <c r="V14" s="12"/>
      <c r="W14" s="11"/>
      <c r="X14" s="10" t="n">
        <f aca="false">ROUND((I14*Rules!$B$27+J14*Rules!$B$27*Rules!$B$23+K14*Rules!$B$28+L14*Rules!$B$29+M14*Rules!$B$30+N14*Rules!$B$31+(O14*Rules!$B$32+P14*Rules!$B$33+Q14*Rules!$B$34)*IF(R14="Y",Rules!$B$23,1)+S14*Rules!$B$35-T14*Rules!$B$36+V14)*IF(C14="Power",Rules!$B$22,1),2)</f>
        <v>9</v>
      </c>
      <c r="Y14" s="10" t="n">
        <f aca="false">ROUND((D14*Rules!$B$16+Rules!$B$17+IF(E14="Uncommon",Rules!$B$19,IF(E14="Rare",Rules!$B$20,Rules!$B$18)))*IF(U14="Y",Rules!$B$21,1),2)</f>
        <v>9</v>
      </c>
      <c r="Z14" s="10" t="n">
        <f aca="false">X14-Y14</f>
        <v>0</v>
      </c>
      <c r="AA14" s="10" t="str">
        <f aca="false">IF(E14="Starter",IF(Z14&lt;0,"Starter (under on purpose)","Starter too strong"),IF(ABS(Z14)&lt;=Rules!$B$24,"Balanced",IF(Z14&gt;0,"Over budget","Under budget")))</f>
        <v>Balanced</v>
      </c>
    </row>
    <row r="15" customFormat="false" ht="15" hidden="false" customHeight="false" outlineLevel="0" collapsed="false">
      <c r="A15" s="10" t="s">
        <v>146</v>
      </c>
      <c r="B15" s="10" t="s">
        <v>147</v>
      </c>
      <c r="C15" s="10" t="s">
        <v>91</v>
      </c>
      <c r="D15" s="10" t="n">
        <v>1</v>
      </c>
      <c r="E15" s="10" t="s">
        <v>102</v>
      </c>
      <c r="F15" s="10" t="s">
        <v>130</v>
      </c>
      <c r="G15" s="11" t="s">
        <v>148</v>
      </c>
      <c r="H15" s="11" t="s">
        <v>149</v>
      </c>
      <c r="I15" s="12"/>
      <c r="J15" s="12"/>
      <c r="K15" s="12" t="n">
        <v>7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1"/>
      <c r="X15" s="10" t="n">
        <f aca="false">ROUND((I15*Rules!$B$27+J15*Rules!$B$27*Rules!$B$23+K15*Rules!$B$28+L15*Rules!$B$29+M15*Rules!$B$30+N15*Rules!$B$31+(O15*Rules!$B$32+P15*Rules!$B$33+Q15*Rules!$B$34)*IF(R15="Y",Rules!$B$23,1)+S15*Rules!$B$35-T15*Rules!$B$36+V15)*IF(C15="Power",Rules!$B$22,1),2)</f>
        <v>8.4</v>
      </c>
      <c r="Y15" s="10" t="n">
        <f aca="false">ROUND((D15*Rules!$B$16+Rules!$B$17+IF(E15="Uncommon",Rules!$B$19,IF(E15="Rare",Rules!$B$20,Rules!$B$18)))*IF(U15="Y",Rules!$B$21,1),2)</f>
        <v>9</v>
      </c>
      <c r="Z15" s="10" t="n">
        <f aca="false">X15-Y15</f>
        <v>-0.6</v>
      </c>
      <c r="AA15" s="10" t="str">
        <f aca="false">IF(E15="Starter",IF(Z15&lt;0,"Starter (under on purpose)","Starter too strong"),IF(ABS(Z15)&lt;=Rules!$B$24,"Balanced",IF(Z15&gt;0,"Over budget","Under budget")))</f>
        <v>Balanced</v>
      </c>
    </row>
    <row r="16" customFormat="false" ht="15" hidden="false" customHeight="false" outlineLevel="0" collapsed="false">
      <c r="A16" s="10" t="s">
        <v>150</v>
      </c>
      <c r="B16" s="10" t="s">
        <v>151</v>
      </c>
      <c r="C16" s="10" t="s">
        <v>91</v>
      </c>
      <c r="D16" s="10" t="n">
        <v>2</v>
      </c>
      <c r="E16" s="10" t="s">
        <v>102</v>
      </c>
      <c r="F16" s="10" t="s">
        <v>130</v>
      </c>
      <c r="G16" s="11" t="s">
        <v>152</v>
      </c>
      <c r="H16" s="11" t="s">
        <v>153</v>
      </c>
      <c r="I16" s="12"/>
      <c r="J16" s="12"/>
      <c r="K16" s="12" t="n">
        <v>12</v>
      </c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1"/>
      <c r="X16" s="10" t="n">
        <f aca="false">ROUND((I16*Rules!$B$27+J16*Rules!$B$27*Rules!$B$23+K16*Rules!$B$28+L16*Rules!$B$29+M16*Rules!$B$30+N16*Rules!$B$31+(O16*Rules!$B$32+P16*Rules!$B$33+Q16*Rules!$B$34)*IF(R16="Y",Rules!$B$23,1)+S16*Rules!$B$35-T16*Rules!$B$36+V16)*IF(C16="Power",Rules!$B$22,1),2)</f>
        <v>14.4</v>
      </c>
      <c r="Y16" s="10" t="n">
        <f aca="false">ROUND((D16*Rules!$B$16+Rules!$B$17+IF(E16="Uncommon",Rules!$B$19,IF(E16="Rare",Rules!$B$20,Rules!$B$18)))*IF(U16="Y",Rules!$B$21,1),2)</f>
        <v>15</v>
      </c>
      <c r="Z16" s="10" t="n">
        <f aca="false">X16-Y16</f>
        <v>-0.6</v>
      </c>
      <c r="AA16" s="10" t="str">
        <f aca="false">IF(E16="Starter",IF(Z16&lt;0,"Starter (under on purpose)","Starter too strong"),IF(ABS(Z16)&lt;=Rules!$B$24,"Balanced",IF(Z16&gt;0,"Over budget","Under budget")))</f>
        <v>Balanced</v>
      </c>
    </row>
    <row r="17" customFormat="false" ht="15" hidden="false" customHeight="false" outlineLevel="0" collapsed="false">
      <c r="A17" s="10" t="s">
        <v>154</v>
      </c>
      <c r="B17" s="10" t="s">
        <v>155</v>
      </c>
      <c r="C17" s="10" t="s">
        <v>91</v>
      </c>
      <c r="D17" s="10" t="n">
        <v>1</v>
      </c>
      <c r="E17" s="10" t="s">
        <v>102</v>
      </c>
      <c r="F17" s="10" t="s">
        <v>130</v>
      </c>
      <c r="G17" s="11" t="s">
        <v>156</v>
      </c>
      <c r="H17" s="11" t="s">
        <v>157</v>
      </c>
      <c r="I17" s="12"/>
      <c r="J17" s="12"/>
      <c r="K17" s="12" t="n">
        <v>4</v>
      </c>
      <c r="L17" s="12"/>
      <c r="M17" s="12" t="n">
        <v>1</v>
      </c>
      <c r="N17" s="12"/>
      <c r="O17" s="12"/>
      <c r="P17" s="12"/>
      <c r="Q17" s="12"/>
      <c r="R17" s="12"/>
      <c r="S17" s="12"/>
      <c r="T17" s="12"/>
      <c r="U17" s="12"/>
      <c r="V17" s="12"/>
      <c r="W17" s="11"/>
      <c r="X17" s="10" t="n">
        <f aca="false">ROUND((I17*Rules!$B$27+J17*Rules!$B$27*Rules!$B$23+K17*Rules!$B$28+L17*Rules!$B$29+M17*Rules!$B$30+N17*Rules!$B$31+(O17*Rules!$B$32+P17*Rules!$B$33+Q17*Rules!$B$34)*IF(R17="Y",Rules!$B$23,1)+S17*Rules!$B$35-T17*Rules!$B$36+V17)*IF(C17="Power",Rules!$B$22,1),2)</f>
        <v>8.8</v>
      </c>
      <c r="Y17" s="10" t="n">
        <f aca="false">ROUND((D17*Rules!$B$16+Rules!$B$17+IF(E17="Uncommon",Rules!$B$19,IF(E17="Rare",Rules!$B$20,Rules!$B$18)))*IF(U17="Y",Rules!$B$21,1),2)</f>
        <v>9</v>
      </c>
      <c r="Z17" s="10" t="n">
        <f aca="false">X17-Y17</f>
        <v>-0.199999999999999</v>
      </c>
      <c r="AA17" s="10" t="str">
        <f aca="false">IF(E17="Starter",IF(Z17&lt;0,"Starter (under on purpose)","Starter too strong"),IF(ABS(Z17)&lt;=Rules!$B$24,"Balanced",IF(Z17&gt;0,"Over budget","Under budget")))</f>
        <v>Balanced</v>
      </c>
    </row>
    <row r="18" customFormat="false" ht="15" hidden="false" customHeight="false" outlineLevel="0" collapsed="false">
      <c r="A18" s="10" t="s">
        <v>158</v>
      </c>
      <c r="B18" s="10" t="s">
        <v>159</v>
      </c>
      <c r="C18" s="10" t="s">
        <v>91</v>
      </c>
      <c r="D18" s="10" t="n">
        <v>1</v>
      </c>
      <c r="E18" s="10" t="s">
        <v>102</v>
      </c>
      <c r="F18" s="10" t="s">
        <v>125</v>
      </c>
      <c r="G18" s="11" t="s">
        <v>160</v>
      </c>
      <c r="H18" s="11" t="s">
        <v>161</v>
      </c>
      <c r="I18" s="12"/>
      <c r="J18" s="12"/>
      <c r="K18" s="12"/>
      <c r="L18" s="12"/>
      <c r="M18" s="12"/>
      <c r="N18" s="12"/>
      <c r="O18" s="12"/>
      <c r="P18" s="12"/>
      <c r="Q18" s="12" t="n">
        <v>6</v>
      </c>
      <c r="R18" s="12"/>
      <c r="S18" s="12"/>
      <c r="T18" s="12"/>
      <c r="U18" s="12"/>
      <c r="V18" s="12"/>
      <c r="W18" s="11"/>
      <c r="X18" s="10" t="n">
        <f aca="false">ROUND((I18*Rules!$B$27+J18*Rules!$B$27*Rules!$B$23+K18*Rules!$B$28+L18*Rules!$B$29+M18*Rules!$B$30+N18*Rules!$B$31+(O18*Rules!$B$32+P18*Rules!$B$33+Q18*Rules!$B$34)*IF(R18="Y",Rules!$B$23,1)+S18*Rules!$B$35-T18*Rules!$B$36+V18)*IF(C18="Power",Rules!$B$22,1),2)</f>
        <v>9</v>
      </c>
      <c r="Y18" s="10" t="n">
        <f aca="false">ROUND((D18*Rules!$B$16+Rules!$B$17+IF(E18="Uncommon",Rules!$B$19,IF(E18="Rare",Rules!$B$20,Rules!$B$18)))*IF(U18="Y",Rules!$B$21,1),2)</f>
        <v>9</v>
      </c>
      <c r="Z18" s="10" t="n">
        <f aca="false">X18-Y18</f>
        <v>0</v>
      </c>
      <c r="AA18" s="10" t="str">
        <f aca="false">IF(E18="Starter",IF(Z18&lt;0,"Starter (under on purpose)","Starter too strong"),IF(ABS(Z18)&lt;=Rules!$B$24,"Balanced",IF(Z18&gt;0,"Over budget","Under budget")))</f>
        <v>Balanced</v>
      </c>
    </row>
    <row r="19" customFormat="false" ht="15" hidden="false" customHeight="false" outlineLevel="0" collapsed="false">
      <c r="A19" s="10" t="s">
        <v>162</v>
      </c>
      <c r="B19" s="10" t="s">
        <v>163</v>
      </c>
      <c r="C19" s="10" t="s">
        <v>91</v>
      </c>
      <c r="D19" s="10" t="n">
        <v>1</v>
      </c>
      <c r="E19" s="10" t="s">
        <v>102</v>
      </c>
      <c r="F19" s="10" t="s">
        <v>85</v>
      </c>
      <c r="G19" s="11" t="s">
        <v>164</v>
      </c>
      <c r="H19" s="11" t="s">
        <v>165</v>
      </c>
      <c r="I19" s="12"/>
      <c r="J19" s="12"/>
      <c r="K19" s="12" t="n">
        <v>4</v>
      </c>
      <c r="L19" s="12" t="n">
        <v>4</v>
      </c>
      <c r="M19" s="12"/>
      <c r="N19" s="12"/>
      <c r="O19" s="12"/>
      <c r="P19" s="12"/>
      <c r="Q19" s="12"/>
      <c r="R19" s="12"/>
      <c r="S19" s="12"/>
      <c r="T19" s="12"/>
      <c r="U19" s="12" t="s">
        <v>166</v>
      </c>
      <c r="V19" s="12"/>
      <c r="W19" s="11" t="s">
        <v>167</v>
      </c>
      <c r="X19" s="10" t="n">
        <f aca="false">ROUND((I19*Rules!$B$27+J19*Rules!$B$27*Rules!$B$23+K19*Rules!$B$28+L19*Rules!$B$29+M19*Rules!$B$30+N19*Rules!$B$31+(O19*Rules!$B$32+P19*Rules!$B$33+Q19*Rules!$B$34)*IF(R19="Y",Rules!$B$23,1)+S19*Rules!$B$35-T19*Rules!$B$36+V19)*IF(C19="Power",Rules!$B$22,1),2)</f>
        <v>10.8</v>
      </c>
      <c r="Y19" s="10" t="n">
        <f aca="false">ROUND((D19*Rules!$B$16+Rules!$B$17+IF(E19="Uncommon",Rules!$B$19,IF(E19="Rare",Rules!$B$20,Rules!$B$18)))*IF(U19="Y",Rules!$B$21,1),2)</f>
        <v>11.7</v>
      </c>
      <c r="Z19" s="10" t="n">
        <f aca="false">X19-Y19</f>
        <v>-0.899999999999999</v>
      </c>
      <c r="AA19" s="10" t="str">
        <f aca="false">IF(E19="Starter",IF(Z19&lt;0,"Starter (under on purpose)","Starter too strong"),IF(ABS(Z19)&lt;=Rules!$B$24,"Balanced",IF(Z19&gt;0,"Over budget","Under budget")))</f>
        <v>Balanced</v>
      </c>
    </row>
    <row r="20" customFormat="false" ht="15" hidden="false" customHeight="false" outlineLevel="0" collapsed="false">
      <c r="A20" s="10" t="s">
        <v>168</v>
      </c>
      <c r="B20" s="10" t="s">
        <v>169</v>
      </c>
      <c r="C20" s="10" t="s">
        <v>91</v>
      </c>
      <c r="D20" s="10" t="n">
        <v>1</v>
      </c>
      <c r="E20" s="10" t="s">
        <v>102</v>
      </c>
      <c r="F20" s="10" t="s">
        <v>139</v>
      </c>
      <c r="G20" s="11" t="s">
        <v>170</v>
      </c>
      <c r="H20" s="11" t="s">
        <v>171</v>
      </c>
      <c r="I20" s="12"/>
      <c r="J20" s="12"/>
      <c r="K20" s="12"/>
      <c r="L20" s="12"/>
      <c r="M20" s="12" t="n">
        <v>2</v>
      </c>
      <c r="N20" s="12"/>
      <c r="O20" s="12"/>
      <c r="P20" s="12"/>
      <c r="Q20" s="12"/>
      <c r="R20" s="12"/>
      <c r="S20" s="12"/>
      <c r="T20" s="12"/>
      <c r="U20" s="12"/>
      <c r="V20" s="12"/>
      <c r="W20" s="11"/>
      <c r="X20" s="10" t="n">
        <f aca="false">ROUND((I20*Rules!$B$27+J20*Rules!$B$27*Rules!$B$23+K20*Rules!$B$28+L20*Rules!$B$29+M20*Rules!$B$30+N20*Rules!$B$31+(O20*Rules!$B$32+P20*Rules!$B$33+Q20*Rules!$B$34)*IF(R20="Y",Rules!$B$23,1)+S20*Rules!$B$35-T20*Rules!$B$36+V20)*IF(C20="Power",Rules!$B$22,1),2)</f>
        <v>8</v>
      </c>
      <c r="Y20" s="10" t="n">
        <f aca="false">ROUND((D20*Rules!$B$16+Rules!$B$17+IF(E20="Uncommon",Rules!$B$19,IF(E20="Rare",Rules!$B$20,Rules!$B$18)))*IF(U20="Y",Rules!$B$21,1),2)</f>
        <v>9</v>
      </c>
      <c r="Z20" s="10" t="n">
        <f aca="false">X20-Y20</f>
        <v>-1</v>
      </c>
      <c r="AA20" s="10" t="str">
        <f aca="false">IF(E20="Starter",IF(Z20&lt;0,"Starter (under on purpose)","Starter too strong"),IF(ABS(Z20)&lt;=Rules!$B$24,"Balanced",IF(Z20&gt;0,"Over budget","Under budget")))</f>
        <v>Balanced</v>
      </c>
    </row>
    <row r="21" customFormat="false" ht="15" hidden="false" customHeight="false" outlineLevel="0" collapsed="false">
      <c r="A21" s="10" t="s">
        <v>172</v>
      </c>
      <c r="B21" s="10" t="s">
        <v>173</v>
      </c>
      <c r="C21" s="10" t="s">
        <v>91</v>
      </c>
      <c r="D21" s="10" t="n">
        <v>1</v>
      </c>
      <c r="E21" s="10" t="s">
        <v>102</v>
      </c>
      <c r="F21" s="10" t="s">
        <v>139</v>
      </c>
      <c r="G21" s="11" t="s">
        <v>174</v>
      </c>
      <c r="H21" s="11" t="s">
        <v>175</v>
      </c>
      <c r="I21" s="12"/>
      <c r="J21" s="12"/>
      <c r="K21" s="12"/>
      <c r="L21" s="12"/>
      <c r="M21" s="12"/>
      <c r="N21" s="12"/>
      <c r="O21" s="12" t="n">
        <v>2</v>
      </c>
      <c r="P21" s="12"/>
      <c r="Q21" s="12"/>
      <c r="R21" s="12" t="s">
        <v>166</v>
      </c>
      <c r="S21" s="12"/>
      <c r="T21" s="12"/>
      <c r="U21" s="12"/>
      <c r="V21" s="12"/>
      <c r="W21" s="11"/>
      <c r="X21" s="10" t="n">
        <f aca="false">ROUND((I21*Rules!$B$27+J21*Rules!$B$27*Rules!$B$23+K21*Rules!$B$28+L21*Rules!$B$29+M21*Rules!$B$30+N21*Rules!$B$31+(O21*Rules!$B$32+P21*Rules!$B$33+Q21*Rules!$B$34)*IF(R21="Y",Rules!$B$23,1)+S21*Rules!$B$35-T21*Rules!$B$36+V21)*IF(C21="Power",Rules!$B$22,1),2)</f>
        <v>9</v>
      </c>
      <c r="Y21" s="10" t="n">
        <f aca="false">ROUND((D21*Rules!$B$16+Rules!$B$17+IF(E21="Uncommon",Rules!$B$19,IF(E21="Rare",Rules!$B$20,Rules!$B$18)))*IF(U21="Y",Rules!$B$21,1),2)</f>
        <v>9</v>
      </c>
      <c r="Z21" s="10" t="n">
        <f aca="false">X21-Y21</f>
        <v>0</v>
      </c>
      <c r="AA21" s="10" t="str">
        <f aca="false">IF(E21="Starter",IF(Z21&lt;0,"Starter (under on purpose)","Starter too strong"),IF(ABS(Z21)&lt;=Rules!$B$24,"Balanced",IF(Z21&gt;0,"Over budget","Under budget")))</f>
        <v>Balanced</v>
      </c>
    </row>
    <row r="22" customFormat="false" ht="26.85" hidden="false" customHeight="false" outlineLevel="0" collapsed="false">
      <c r="A22" s="10" t="s">
        <v>176</v>
      </c>
      <c r="B22" s="10" t="s">
        <v>177</v>
      </c>
      <c r="C22" s="10" t="s">
        <v>91</v>
      </c>
      <c r="D22" s="10" t="n">
        <v>0</v>
      </c>
      <c r="E22" s="10" t="s">
        <v>102</v>
      </c>
      <c r="F22" s="10" t="s">
        <v>106</v>
      </c>
      <c r="G22" s="11" t="s">
        <v>178</v>
      </c>
      <c r="H22" s="11" t="s">
        <v>179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 t="n">
        <v>3</v>
      </c>
      <c r="W22" s="11" t="s">
        <v>180</v>
      </c>
      <c r="X22" s="10" t="n">
        <f aca="false">ROUND((I22*Rules!$B$27+J22*Rules!$B$27*Rules!$B$23+K22*Rules!$B$28+L22*Rules!$B$29+M22*Rules!$B$30+N22*Rules!$B$31+(O22*Rules!$B$32+P22*Rules!$B$33+Q22*Rules!$B$34)*IF(R22="Y",Rules!$B$23,1)+S22*Rules!$B$35-T22*Rules!$B$36+V22)*IF(C22="Power",Rules!$B$22,1),2)</f>
        <v>3</v>
      </c>
      <c r="Y22" s="10" t="n">
        <f aca="false">ROUND((D22*Rules!$B$16+Rules!$B$17+IF(E22="Uncommon",Rules!$B$19,IF(E22="Rare",Rules!$B$20,Rules!$B$18)))*IF(U22="Y",Rules!$B$21,1),2)</f>
        <v>3</v>
      </c>
      <c r="Z22" s="10" t="n">
        <f aca="false">X22-Y22</f>
        <v>0</v>
      </c>
      <c r="AA22" s="10" t="str">
        <f aca="false">IF(E22="Starter",IF(Z22&lt;0,"Starter (under on purpose)","Starter too strong"),IF(ABS(Z22)&lt;=Rules!$B$24,"Balanced",IF(Z22&gt;0,"Over budget","Under budget")))</f>
        <v>Balanced</v>
      </c>
    </row>
    <row r="23" customFormat="false" ht="15" hidden="false" customHeight="false" outlineLevel="0" collapsed="false">
      <c r="A23" s="10" t="s">
        <v>181</v>
      </c>
      <c r="B23" s="10" t="s">
        <v>182</v>
      </c>
      <c r="C23" s="10" t="s">
        <v>91</v>
      </c>
      <c r="D23" s="10" t="n">
        <v>0</v>
      </c>
      <c r="E23" s="10" t="s">
        <v>102</v>
      </c>
      <c r="F23" s="10" t="s">
        <v>139</v>
      </c>
      <c r="G23" s="11" t="s">
        <v>183</v>
      </c>
      <c r="H23" s="11" t="s">
        <v>184</v>
      </c>
      <c r="I23" s="12"/>
      <c r="J23" s="12"/>
      <c r="K23" s="12"/>
      <c r="L23" s="12"/>
      <c r="M23" s="12" t="n">
        <v>1</v>
      </c>
      <c r="N23" s="12"/>
      <c r="O23" s="12"/>
      <c r="P23" s="12"/>
      <c r="Q23" s="12"/>
      <c r="R23" s="12"/>
      <c r="S23" s="12"/>
      <c r="T23" s="12"/>
      <c r="U23" s="12" t="s">
        <v>166</v>
      </c>
      <c r="V23" s="12"/>
      <c r="W23" s="11"/>
      <c r="X23" s="10" t="n">
        <f aca="false">ROUND((I23*Rules!$B$27+J23*Rules!$B$27*Rules!$B$23+K23*Rules!$B$28+L23*Rules!$B$29+M23*Rules!$B$30+N23*Rules!$B$31+(O23*Rules!$B$32+P23*Rules!$B$33+Q23*Rules!$B$34)*IF(R23="Y",Rules!$B$23,1)+S23*Rules!$B$35-T23*Rules!$B$36+V23)*IF(C23="Power",Rules!$B$22,1),2)</f>
        <v>4</v>
      </c>
      <c r="Y23" s="10" t="n">
        <f aca="false">ROUND((D23*Rules!$B$16+Rules!$B$17+IF(E23="Uncommon",Rules!$B$19,IF(E23="Rare",Rules!$B$20,Rules!$B$18)))*IF(U23="Y",Rules!$B$21,1),2)</f>
        <v>3.9</v>
      </c>
      <c r="Z23" s="10" t="n">
        <f aca="false">X23-Y23</f>
        <v>0.1</v>
      </c>
      <c r="AA23" s="10" t="str">
        <f aca="false">IF(E23="Starter",IF(Z23&lt;0,"Starter (under on purpose)","Starter too strong"),IF(ABS(Z23)&lt;=Rules!$B$24,"Balanced",IF(Z23&gt;0,"Over budget","Under budget")))</f>
        <v>Balanced</v>
      </c>
    </row>
    <row r="24" customFormat="false" ht="15" hidden="false" customHeight="false" outlineLevel="0" collapsed="false">
      <c r="A24" s="10" t="s">
        <v>185</v>
      </c>
      <c r="B24" s="10" t="s">
        <v>186</v>
      </c>
      <c r="C24" s="10" t="s">
        <v>91</v>
      </c>
      <c r="D24" s="10" t="n">
        <v>1</v>
      </c>
      <c r="E24" s="10" t="s">
        <v>102</v>
      </c>
      <c r="F24" s="10" t="s">
        <v>130</v>
      </c>
      <c r="G24" s="11" t="s">
        <v>187</v>
      </c>
      <c r="H24" s="11" t="s">
        <v>188</v>
      </c>
      <c r="I24" s="12"/>
      <c r="J24" s="12"/>
      <c r="K24" s="12" t="n">
        <v>5</v>
      </c>
      <c r="L24" s="12"/>
      <c r="M24" s="12"/>
      <c r="N24" s="12"/>
      <c r="O24" s="12" t="n">
        <v>1</v>
      </c>
      <c r="P24" s="12"/>
      <c r="Q24" s="12"/>
      <c r="R24" s="12"/>
      <c r="S24" s="12"/>
      <c r="T24" s="12"/>
      <c r="U24" s="12"/>
      <c r="V24" s="12"/>
      <c r="W24" s="11"/>
      <c r="X24" s="10" t="n">
        <f aca="false">ROUND((I24*Rules!$B$27+J24*Rules!$B$27*Rules!$B$23+K24*Rules!$B$28+L24*Rules!$B$29+M24*Rules!$B$30+N24*Rules!$B$31+(O24*Rules!$B$32+P24*Rules!$B$33+Q24*Rules!$B$34)*IF(R24="Y",Rules!$B$23,1)+S24*Rules!$B$35-T24*Rules!$B$36+V24)*IF(C24="Power",Rules!$B$22,1),2)</f>
        <v>9</v>
      </c>
      <c r="Y24" s="10" t="n">
        <f aca="false">ROUND((D24*Rules!$B$16+Rules!$B$17+IF(E24="Uncommon",Rules!$B$19,IF(E24="Rare",Rules!$B$20,Rules!$B$18)))*IF(U24="Y",Rules!$B$21,1),2)</f>
        <v>9</v>
      </c>
      <c r="Z24" s="10" t="n">
        <f aca="false">X24-Y24</f>
        <v>0</v>
      </c>
      <c r="AA24" s="10" t="str">
        <f aca="false">IF(E24="Starter",IF(Z24&lt;0,"Starter (under on purpose)","Starter too strong"),IF(ABS(Z24)&lt;=Rules!$B$24,"Balanced",IF(Z24&gt;0,"Over budget","Under budget")))</f>
        <v>Balanced</v>
      </c>
    </row>
    <row r="25" customFormat="false" ht="15" hidden="false" customHeight="false" outlineLevel="0" collapsed="false">
      <c r="A25" s="10" t="s">
        <v>189</v>
      </c>
      <c r="B25" s="10" t="s">
        <v>190</v>
      </c>
      <c r="C25" s="10" t="s">
        <v>83</v>
      </c>
      <c r="D25" s="10" t="n">
        <v>1</v>
      </c>
      <c r="E25" s="10" t="s">
        <v>191</v>
      </c>
      <c r="F25" s="10" t="s">
        <v>139</v>
      </c>
      <c r="G25" s="11" t="s">
        <v>192</v>
      </c>
      <c r="H25" s="11" t="s">
        <v>193</v>
      </c>
      <c r="I25" s="12" t="n">
        <v>5</v>
      </c>
      <c r="J25" s="12"/>
      <c r="K25" s="12"/>
      <c r="L25" s="12"/>
      <c r="M25" s="12"/>
      <c r="N25" s="12"/>
      <c r="O25" s="12"/>
      <c r="P25" s="12" t="n">
        <v>2</v>
      </c>
      <c r="Q25" s="12"/>
      <c r="R25" s="12"/>
      <c r="S25" s="12"/>
      <c r="T25" s="12"/>
      <c r="U25" s="12"/>
      <c r="V25" s="12"/>
      <c r="W25" s="11"/>
      <c r="X25" s="10" t="n">
        <f aca="false">ROUND((I25*Rules!$B$27+J25*Rules!$B$27*Rules!$B$23+K25*Rules!$B$28+L25*Rules!$B$29+M25*Rules!$B$30+N25*Rules!$B$31+(O25*Rules!$B$32+P25*Rules!$B$33+Q25*Rules!$B$34)*IF(R25="Y",Rules!$B$23,1)+S25*Rules!$B$35-T25*Rules!$B$36+V25)*IF(C25="Power",Rules!$B$22,1),2)</f>
        <v>11</v>
      </c>
      <c r="Y25" s="10" t="n">
        <f aca="false">ROUND((D25*Rules!$B$16+Rules!$B$17+IF(E25="Uncommon",Rules!$B$19,IF(E25="Rare",Rules!$B$20,Rules!$B$18)))*IF(U25="Y",Rules!$B$21,1),2)</f>
        <v>11</v>
      </c>
      <c r="Z25" s="10" t="n">
        <f aca="false">X25-Y25</f>
        <v>0</v>
      </c>
      <c r="AA25" s="10" t="str">
        <f aca="false">IF(E25="Starter",IF(Z25&lt;0,"Starter (under on purpose)","Starter too strong"),IF(ABS(Z25)&lt;=Rules!$B$24,"Balanced",IF(Z25&gt;0,"Over budget","Under budget")))</f>
        <v>Balanced</v>
      </c>
    </row>
    <row r="26" customFormat="false" ht="15" hidden="false" customHeight="false" outlineLevel="0" collapsed="false">
      <c r="A26" s="10" t="s">
        <v>194</v>
      </c>
      <c r="B26" s="10" t="s">
        <v>195</v>
      </c>
      <c r="C26" s="10" t="s">
        <v>83</v>
      </c>
      <c r="D26" s="10" t="n">
        <v>2</v>
      </c>
      <c r="E26" s="10" t="s">
        <v>191</v>
      </c>
      <c r="F26" s="10" t="s">
        <v>130</v>
      </c>
      <c r="G26" s="11" t="s">
        <v>196</v>
      </c>
      <c r="H26" s="11" t="s">
        <v>197</v>
      </c>
      <c r="I26" s="12" t="n">
        <v>8</v>
      </c>
      <c r="J26" s="12"/>
      <c r="K26" s="12" t="n">
        <v>7</v>
      </c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1"/>
      <c r="X26" s="10" t="n">
        <f aca="false">ROUND((I26*Rules!$B$27+J26*Rules!$B$27*Rules!$B$23+K26*Rules!$B$28+L26*Rules!$B$29+M26*Rules!$B$30+N26*Rules!$B$31+(O26*Rules!$B$32+P26*Rules!$B$33+Q26*Rules!$B$34)*IF(R26="Y",Rules!$B$23,1)+S26*Rules!$B$35-T26*Rules!$B$36+V26)*IF(C26="Power",Rules!$B$22,1),2)</f>
        <v>16.4</v>
      </c>
      <c r="Y26" s="10" t="n">
        <f aca="false">ROUND((D26*Rules!$B$16+Rules!$B$17+IF(E26="Uncommon",Rules!$B$19,IF(E26="Rare",Rules!$B$20,Rules!$B$18)))*IF(U26="Y",Rules!$B$21,1),2)</f>
        <v>17</v>
      </c>
      <c r="Z26" s="10" t="n">
        <f aca="false">X26-Y26</f>
        <v>-0.600000000000001</v>
      </c>
      <c r="AA26" s="10" t="str">
        <f aca="false">IF(E26="Starter",IF(Z26&lt;0,"Starter (under on purpose)","Starter too strong"),IF(ABS(Z26)&lt;=Rules!$B$24,"Balanced",IF(Z26&gt;0,"Over budget","Under budget")))</f>
        <v>Balanced</v>
      </c>
    </row>
    <row r="27" customFormat="false" ht="15" hidden="false" customHeight="false" outlineLevel="0" collapsed="false">
      <c r="A27" s="10" t="s">
        <v>198</v>
      </c>
      <c r="B27" s="10" t="s">
        <v>199</v>
      </c>
      <c r="C27" s="10" t="s">
        <v>83</v>
      </c>
      <c r="D27" s="10" t="n">
        <v>2</v>
      </c>
      <c r="E27" s="10" t="s">
        <v>191</v>
      </c>
      <c r="F27" s="10" t="s">
        <v>106</v>
      </c>
      <c r="G27" s="11" t="s">
        <v>200</v>
      </c>
      <c r="H27" s="11" t="s">
        <v>201</v>
      </c>
      <c r="I27" s="12"/>
      <c r="J27" s="12" t="n">
        <v>11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1"/>
      <c r="X27" s="10" t="n">
        <f aca="false">ROUND((I27*Rules!$B$27+J27*Rules!$B$27*Rules!$B$23+K27*Rules!$B$28+L27*Rules!$B$29+M27*Rules!$B$30+N27*Rules!$B$31+(O27*Rules!$B$32+P27*Rules!$B$33+Q27*Rules!$B$34)*IF(R27="Y",Rules!$B$23,1)+S27*Rules!$B$35-T27*Rules!$B$36+V27)*IF(C27="Power",Rules!$B$22,1),2)</f>
        <v>16.5</v>
      </c>
      <c r="Y27" s="10" t="n">
        <f aca="false">ROUND((D27*Rules!$B$16+Rules!$B$17+IF(E27="Uncommon",Rules!$B$19,IF(E27="Rare",Rules!$B$20,Rules!$B$18)))*IF(U27="Y",Rules!$B$21,1),2)</f>
        <v>17</v>
      </c>
      <c r="Z27" s="10" t="n">
        <f aca="false">X27-Y27</f>
        <v>-0.5</v>
      </c>
      <c r="AA27" s="10" t="str">
        <f aca="false">IF(E27="Starter",IF(Z27&lt;0,"Starter (under on purpose)","Starter too strong"),IF(ABS(Z27)&lt;=Rules!$B$24,"Balanced",IF(Z27&gt;0,"Over budget","Under budget")))</f>
        <v>Balanced</v>
      </c>
    </row>
    <row r="28" customFormat="false" ht="15" hidden="false" customHeight="false" outlineLevel="0" collapsed="false">
      <c r="A28" s="10" t="s">
        <v>202</v>
      </c>
      <c r="B28" s="10" t="s">
        <v>203</v>
      </c>
      <c r="C28" s="10" t="s">
        <v>91</v>
      </c>
      <c r="D28" s="10" t="n">
        <v>2</v>
      </c>
      <c r="E28" s="10" t="s">
        <v>191</v>
      </c>
      <c r="F28" s="10" t="s">
        <v>125</v>
      </c>
      <c r="G28" s="11" t="s">
        <v>204</v>
      </c>
      <c r="H28" s="11" t="s">
        <v>205</v>
      </c>
      <c r="I28" s="12"/>
      <c r="J28" s="12"/>
      <c r="K28" s="12"/>
      <c r="L28" s="12"/>
      <c r="M28" s="12"/>
      <c r="N28" s="12"/>
      <c r="O28" s="12"/>
      <c r="P28" s="12"/>
      <c r="Q28" s="12" t="n">
        <v>7</v>
      </c>
      <c r="R28" s="12" t="s">
        <v>166</v>
      </c>
      <c r="S28" s="12"/>
      <c r="T28" s="12"/>
      <c r="U28" s="12"/>
      <c r="V28" s="12"/>
      <c r="W28" s="11"/>
      <c r="X28" s="10" t="n">
        <f aca="false">ROUND((I28*Rules!$B$27+J28*Rules!$B$27*Rules!$B$23+K28*Rules!$B$28+L28*Rules!$B$29+M28*Rules!$B$30+N28*Rules!$B$31+(O28*Rules!$B$32+P28*Rules!$B$33+Q28*Rules!$B$34)*IF(R28="Y",Rules!$B$23,1)+S28*Rules!$B$35-T28*Rules!$B$36+V28)*IF(C28="Power",Rules!$B$22,1),2)</f>
        <v>15.75</v>
      </c>
      <c r="Y28" s="10" t="n">
        <f aca="false">ROUND((D28*Rules!$B$16+Rules!$B$17+IF(E28="Uncommon",Rules!$B$19,IF(E28="Rare",Rules!$B$20,Rules!$B$18)))*IF(U28="Y",Rules!$B$21,1),2)</f>
        <v>17</v>
      </c>
      <c r="Z28" s="10" t="n">
        <f aca="false">X28-Y28</f>
        <v>-1.25</v>
      </c>
      <c r="AA28" s="10" t="str">
        <f aca="false">IF(E28="Starter",IF(Z28&lt;0,"Starter (under on purpose)","Starter too strong"),IF(ABS(Z28)&lt;=Rules!$B$24,"Balanced",IF(Z28&gt;0,"Over budget","Under budget")))</f>
        <v>Balanced</v>
      </c>
    </row>
    <row r="29" customFormat="false" ht="15" hidden="false" customHeight="false" outlineLevel="0" collapsed="false">
      <c r="A29" s="10" t="s">
        <v>206</v>
      </c>
      <c r="B29" s="10" t="s">
        <v>207</v>
      </c>
      <c r="C29" s="10" t="s">
        <v>91</v>
      </c>
      <c r="D29" s="10" t="n">
        <v>0</v>
      </c>
      <c r="E29" s="10" t="s">
        <v>191</v>
      </c>
      <c r="F29" s="10" t="s">
        <v>139</v>
      </c>
      <c r="G29" s="11" t="s">
        <v>208</v>
      </c>
      <c r="H29" s="11" t="s">
        <v>209</v>
      </c>
      <c r="I29" s="12"/>
      <c r="J29" s="12"/>
      <c r="K29" s="12"/>
      <c r="L29" s="12"/>
      <c r="M29" s="12"/>
      <c r="N29" s="12" t="n">
        <v>1</v>
      </c>
      <c r="O29" s="12"/>
      <c r="P29" s="12"/>
      <c r="Q29" s="12"/>
      <c r="R29" s="12"/>
      <c r="S29" s="12"/>
      <c r="T29" s="12"/>
      <c r="U29" s="12" t="s">
        <v>166</v>
      </c>
      <c r="V29" s="12"/>
      <c r="W29" s="11"/>
      <c r="X29" s="10" t="n">
        <f aca="false">ROUND((I29*Rules!$B$27+J29*Rules!$B$27*Rules!$B$23+K29*Rules!$B$28+L29*Rules!$B$29+M29*Rules!$B$30+N29*Rules!$B$31+(O29*Rules!$B$32+P29*Rules!$B$33+Q29*Rules!$B$34)*IF(R29="Y",Rules!$B$23,1)+S29*Rules!$B$35-T29*Rules!$B$36+V29)*IF(C29="Power",Rules!$B$22,1),2)</f>
        <v>6</v>
      </c>
      <c r="Y29" s="10" t="n">
        <f aca="false">ROUND((D29*Rules!$B$16+Rules!$B$17+IF(E29="Uncommon",Rules!$B$19,IF(E29="Rare",Rules!$B$20,Rules!$B$18)))*IF(U29="Y",Rules!$B$21,1),2)</f>
        <v>6.5</v>
      </c>
      <c r="Z29" s="10" t="n">
        <f aca="false">X29-Y29</f>
        <v>-0.5</v>
      </c>
      <c r="AA29" s="10" t="str">
        <f aca="false">IF(E29="Starter",IF(Z29&lt;0,"Starter (under on purpose)","Starter too strong"),IF(ABS(Z29)&lt;=Rules!$B$24,"Balanced",IF(Z29&gt;0,"Over budget","Under budget")))</f>
        <v>Balanced</v>
      </c>
    </row>
    <row r="30" customFormat="false" ht="15" hidden="false" customHeight="false" outlineLevel="0" collapsed="false">
      <c r="A30" s="10" t="s">
        <v>210</v>
      </c>
      <c r="B30" s="10" t="s">
        <v>211</v>
      </c>
      <c r="C30" s="10" t="s">
        <v>212</v>
      </c>
      <c r="D30" s="10" t="n">
        <v>1</v>
      </c>
      <c r="E30" s="10" t="s">
        <v>191</v>
      </c>
      <c r="F30" s="10" t="s">
        <v>130</v>
      </c>
      <c r="G30" s="11" t="s">
        <v>213</v>
      </c>
      <c r="H30" s="11" t="s">
        <v>214</v>
      </c>
      <c r="I30" s="12"/>
      <c r="J30" s="12"/>
      <c r="K30" s="12" t="n">
        <v>4</v>
      </c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1" t="s">
        <v>215</v>
      </c>
      <c r="X30" s="10" t="n">
        <f aca="false">ROUND((I30*Rules!$B$27+J30*Rules!$B$27*Rules!$B$23+K30*Rules!$B$28+L30*Rules!$B$29+M30*Rules!$B$30+N30*Rules!$B$31+(O30*Rules!$B$32+P30*Rules!$B$33+Q30*Rules!$B$34)*IF(R30="Y",Rules!$B$23,1)+S30*Rules!$B$35-T30*Rules!$B$36+V30)*IF(C30="Power",Rules!$B$22,1),2)</f>
        <v>9.6</v>
      </c>
      <c r="Y30" s="10" t="n">
        <f aca="false">ROUND((D30*Rules!$B$16+Rules!$B$17+IF(E30="Uncommon",Rules!$B$19,IF(E30="Rare",Rules!$B$20,Rules!$B$18)))*IF(U30="Y",Rules!$B$21,1),2)</f>
        <v>11</v>
      </c>
      <c r="Z30" s="10" t="n">
        <f aca="false">X30-Y30</f>
        <v>-1.4</v>
      </c>
      <c r="AA30" s="10" t="str">
        <f aca="false">IF(E30="Starter",IF(Z30&lt;0,"Starter (under on purpose)","Starter too strong"),IF(ABS(Z30)&lt;=Rules!$B$24,"Balanced",IF(Z30&gt;0,"Over budget","Under budget")))</f>
        <v>Balanced</v>
      </c>
    </row>
    <row r="31" customFormat="false" ht="15" hidden="false" customHeight="false" outlineLevel="0" collapsed="false">
      <c r="A31" s="10" t="s">
        <v>216</v>
      </c>
      <c r="B31" s="10" t="s">
        <v>217</v>
      </c>
      <c r="C31" s="10" t="s">
        <v>91</v>
      </c>
      <c r="D31" s="10" t="n">
        <v>1</v>
      </c>
      <c r="E31" s="10" t="s">
        <v>191</v>
      </c>
      <c r="F31" s="10" t="s">
        <v>106</v>
      </c>
      <c r="G31" s="11" t="s">
        <v>218</v>
      </c>
      <c r="H31" s="11" t="s">
        <v>219</v>
      </c>
      <c r="I31" s="12"/>
      <c r="J31" s="12"/>
      <c r="K31" s="12"/>
      <c r="L31" s="12"/>
      <c r="M31" s="12" t="n">
        <v>1</v>
      </c>
      <c r="N31" s="12"/>
      <c r="O31" s="12"/>
      <c r="P31" s="12"/>
      <c r="Q31" s="12"/>
      <c r="R31" s="12"/>
      <c r="S31" s="12" t="n">
        <v>2</v>
      </c>
      <c r="T31" s="12"/>
      <c r="U31" s="12"/>
      <c r="V31" s="12"/>
      <c r="W31" s="11" t="s">
        <v>220</v>
      </c>
      <c r="X31" s="10" t="n">
        <f aca="false">ROUND((I31*Rules!$B$27+J31*Rules!$B$27*Rules!$B$23+K31*Rules!$B$28+L31*Rules!$B$29+M31*Rules!$B$30+N31*Rules!$B$31+(O31*Rules!$B$32+P31*Rules!$B$33+Q31*Rules!$B$34)*IF(R31="Y",Rules!$B$23,1)+S31*Rules!$B$35-T31*Rules!$B$36+V31)*IF(C31="Power",Rules!$B$22,1),2)</f>
        <v>12</v>
      </c>
      <c r="Y31" s="10" t="n">
        <f aca="false">ROUND((D31*Rules!$B$16+Rules!$B$17+IF(E31="Uncommon",Rules!$B$19,IF(E31="Rare",Rules!$B$20,Rules!$B$18)))*IF(U31="Y",Rules!$B$21,1),2)</f>
        <v>11</v>
      </c>
      <c r="Z31" s="10" t="n">
        <f aca="false">X31-Y31</f>
        <v>1</v>
      </c>
      <c r="AA31" s="10" t="str">
        <f aca="false">IF(E31="Starter",IF(Z31&lt;0,"Starter (under on purpose)","Starter too strong"),IF(ABS(Z31)&lt;=Rules!$B$24,"Balanced",IF(Z31&gt;0,"Over budget","Under budget")))</f>
        <v>Balanced</v>
      </c>
    </row>
    <row r="32" customFormat="false" ht="26.85" hidden="false" customHeight="false" outlineLevel="0" collapsed="false">
      <c r="A32" s="10" t="s">
        <v>221</v>
      </c>
      <c r="B32" s="10" t="s">
        <v>222</v>
      </c>
      <c r="C32" s="10" t="s">
        <v>83</v>
      </c>
      <c r="D32" s="10" t="n">
        <v>2</v>
      </c>
      <c r="E32" s="10" t="s">
        <v>191</v>
      </c>
      <c r="F32" s="10" t="s">
        <v>106</v>
      </c>
      <c r="G32" s="11" t="s">
        <v>223</v>
      </c>
      <c r="H32" s="11" t="s">
        <v>224</v>
      </c>
      <c r="I32" s="12" t="n">
        <v>12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 t="n">
        <v>4</v>
      </c>
      <c r="W32" s="11" t="s">
        <v>225</v>
      </c>
      <c r="X32" s="10" t="n">
        <f aca="false">ROUND((I32*Rules!$B$27+J32*Rules!$B$27*Rules!$B$23+K32*Rules!$B$28+L32*Rules!$B$29+M32*Rules!$B$30+N32*Rules!$B$31+(O32*Rules!$B$32+P32*Rules!$B$33+Q32*Rules!$B$34)*IF(R32="Y",Rules!$B$23,1)+S32*Rules!$B$35-T32*Rules!$B$36+V32)*IF(C32="Power",Rules!$B$22,1),2)</f>
        <v>16</v>
      </c>
      <c r="Y32" s="10" t="n">
        <f aca="false">ROUND((D32*Rules!$B$16+Rules!$B$17+IF(E32="Uncommon",Rules!$B$19,IF(E32="Rare",Rules!$B$20,Rules!$B$18)))*IF(U32="Y",Rules!$B$21,1),2)</f>
        <v>17</v>
      </c>
      <c r="Z32" s="10" t="n">
        <f aca="false">X32-Y32</f>
        <v>-1</v>
      </c>
      <c r="AA32" s="10" t="str">
        <f aca="false">IF(E32="Starter",IF(Z32&lt;0,"Starter (under on purpose)","Starter too strong"),IF(ABS(Z32)&lt;=Rules!$B$24,"Balanced",IF(Z32&gt;0,"Over budget","Under budget")))</f>
        <v>Balanced</v>
      </c>
    </row>
    <row r="33" customFormat="false" ht="26.85" hidden="false" customHeight="false" outlineLevel="0" collapsed="false">
      <c r="A33" s="10" t="s">
        <v>226</v>
      </c>
      <c r="B33" s="10" t="s">
        <v>227</v>
      </c>
      <c r="C33" s="10" t="s">
        <v>212</v>
      </c>
      <c r="D33" s="10" t="n">
        <v>1</v>
      </c>
      <c r="E33" s="10" t="s">
        <v>191</v>
      </c>
      <c r="F33" s="10" t="s">
        <v>125</v>
      </c>
      <c r="G33" s="11" t="s">
        <v>228</v>
      </c>
      <c r="H33" s="11" t="s">
        <v>229</v>
      </c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 t="n">
        <v>5.5</v>
      </c>
      <c r="W33" s="11" t="s">
        <v>230</v>
      </c>
      <c r="X33" s="10" t="n">
        <f aca="false">ROUND((I33*Rules!$B$27+J33*Rules!$B$27*Rules!$B$23+K33*Rules!$B$28+L33*Rules!$B$29+M33*Rules!$B$30+N33*Rules!$B$31+(O33*Rules!$B$32+P33*Rules!$B$33+Q33*Rules!$B$34)*IF(R33="Y",Rules!$B$23,1)+S33*Rules!$B$35-T33*Rules!$B$36+V33)*IF(C33="Power",Rules!$B$22,1),2)</f>
        <v>11</v>
      </c>
      <c r="Y33" s="10" t="n">
        <f aca="false">ROUND((D33*Rules!$B$16+Rules!$B$17+IF(E33="Uncommon",Rules!$B$19,IF(E33="Rare",Rules!$B$20,Rules!$B$18)))*IF(U33="Y",Rules!$B$21,1),2)</f>
        <v>11</v>
      </c>
      <c r="Z33" s="10" t="n">
        <f aca="false">X33-Y33</f>
        <v>0</v>
      </c>
      <c r="AA33" s="10" t="str">
        <f aca="false">IF(E33="Starter",IF(Z33&lt;0,"Starter (under on purpose)","Starter too strong"),IF(ABS(Z33)&lt;=Rules!$B$24,"Balanced",IF(Z33&gt;0,"Over budget","Under budget")))</f>
        <v>Balanced</v>
      </c>
    </row>
    <row r="34" customFormat="false" ht="26.85" hidden="false" customHeight="false" outlineLevel="0" collapsed="false">
      <c r="A34" s="10" t="s">
        <v>231</v>
      </c>
      <c r="B34" s="10" t="s">
        <v>232</v>
      </c>
      <c r="C34" s="10" t="s">
        <v>91</v>
      </c>
      <c r="D34" s="10" t="n">
        <v>1</v>
      </c>
      <c r="E34" s="10" t="s">
        <v>191</v>
      </c>
      <c r="F34" s="10" t="s">
        <v>130</v>
      </c>
      <c r="G34" s="11" t="s">
        <v>233</v>
      </c>
      <c r="H34" s="11" t="s">
        <v>234</v>
      </c>
      <c r="I34" s="12"/>
      <c r="J34" s="12"/>
      <c r="K34" s="12" t="n">
        <v>6</v>
      </c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 t="n">
        <v>3.5</v>
      </c>
      <c r="W34" s="11" t="s">
        <v>235</v>
      </c>
      <c r="X34" s="10" t="n">
        <f aca="false">ROUND((I34*Rules!$B$27+J34*Rules!$B$27*Rules!$B$23+K34*Rules!$B$28+L34*Rules!$B$29+M34*Rules!$B$30+N34*Rules!$B$31+(O34*Rules!$B$32+P34*Rules!$B$33+Q34*Rules!$B$34)*IF(R34="Y",Rules!$B$23,1)+S34*Rules!$B$35-T34*Rules!$B$36+V34)*IF(C34="Power",Rules!$B$22,1),2)</f>
        <v>10.7</v>
      </c>
      <c r="Y34" s="10" t="n">
        <f aca="false">ROUND((D34*Rules!$B$16+Rules!$B$17+IF(E34="Uncommon",Rules!$B$19,IF(E34="Rare",Rules!$B$20,Rules!$B$18)))*IF(U34="Y",Rules!$B$21,1),2)</f>
        <v>11</v>
      </c>
      <c r="Z34" s="10" t="n">
        <f aca="false">X34-Y34</f>
        <v>-0.300000000000001</v>
      </c>
      <c r="AA34" s="10" t="str">
        <f aca="false">IF(E34="Starter",IF(Z34&lt;0,"Starter (under on purpose)","Starter too strong"),IF(ABS(Z34)&lt;=Rules!$B$24,"Balanced",IF(Z34&gt;0,"Over budget","Under budget")))</f>
        <v>Balanced</v>
      </c>
    </row>
    <row r="35" customFormat="false" ht="15" hidden="false" customHeight="false" outlineLevel="0" collapsed="false">
      <c r="A35" s="10" t="s">
        <v>236</v>
      </c>
      <c r="B35" s="10" t="s">
        <v>237</v>
      </c>
      <c r="C35" s="10" t="s">
        <v>83</v>
      </c>
      <c r="D35" s="10" t="n">
        <v>0</v>
      </c>
      <c r="E35" s="10" t="s">
        <v>191</v>
      </c>
      <c r="F35" s="10" t="s">
        <v>106</v>
      </c>
      <c r="G35" s="11" t="s">
        <v>238</v>
      </c>
      <c r="H35" s="11" t="s">
        <v>239</v>
      </c>
      <c r="I35" s="12" t="n">
        <v>8</v>
      </c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 t="n">
        <v>2</v>
      </c>
      <c r="U35" s="12"/>
      <c r="V35" s="12"/>
      <c r="W35" s="11"/>
      <c r="X35" s="10" t="n">
        <f aca="false">ROUND((I35*Rules!$B$27+J35*Rules!$B$27*Rules!$B$23+K35*Rules!$B$28+L35*Rules!$B$29+M35*Rules!$B$30+N35*Rules!$B$31+(O35*Rules!$B$32+P35*Rules!$B$33+Q35*Rules!$B$34)*IF(R35="Y",Rules!$B$23,1)+S35*Rules!$B$35-T35*Rules!$B$36+V35)*IF(C35="Power",Rules!$B$22,1),2)</f>
        <v>5</v>
      </c>
      <c r="Y35" s="10" t="n">
        <f aca="false">ROUND((D35*Rules!$B$16+Rules!$B$17+IF(E35="Uncommon",Rules!$B$19,IF(E35="Rare",Rules!$B$20,Rules!$B$18)))*IF(U35="Y",Rules!$B$21,1),2)</f>
        <v>5</v>
      </c>
      <c r="Z35" s="10" t="n">
        <f aca="false">X35-Y35</f>
        <v>0</v>
      </c>
      <c r="AA35" s="10" t="str">
        <f aca="false">IF(E35="Starter",IF(Z35&lt;0,"Starter (under on purpose)","Starter too strong"),IF(ABS(Z35)&lt;=Rules!$B$24,"Balanced",IF(Z35&gt;0,"Over budget","Under budget")))</f>
        <v>Balanced</v>
      </c>
    </row>
    <row r="36" customFormat="false" ht="26.85" hidden="false" customHeight="false" outlineLevel="0" collapsed="false">
      <c r="A36" s="10" t="s">
        <v>240</v>
      </c>
      <c r="B36" s="10" t="s">
        <v>241</v>
      </c>
      <c r="C36" s="10" t="s">
        <v>91</v>
      </c>
      <c r="D36" s="10" t="n">
        <v>1</v>
      </c>
      <c r="E36" s="10" t="s">
        <v>191</v>
      </c>
      <c r="F36" s="10" t="s">
        <v>139</v>
      </c>
      <c r="G36" s="11" t="s">
        <v>242</v>
      </c>
      <c r="H36" s="11" t="s">
        <v>243</v>
      </c>
      <c r="I36" s="12"/>
      <c r="J36" s="12"/>
      <c r="K36" s="12"/>
      <c r="L36" s="12"/>
      <c r="M36" s="12" t="n">
        <v>3</v>
      </c>
      <c r="N36" s="12"/>
      <c r="O36" s="12"/>
      <c r="P36" s="12"/>
      <c r="Q36" s="12"/>
      <c r="R36" s="12"/>
      <c r="S36" s="12"/>
      <c r="T36" s="12"/>
      <c r="U36" s="12"/>
      <c r="V36" s="12" t="n">
        <v>-1</v>
      </c>
      <c r="W36" s="11" t="s">
        <v>244</v>
      </c>
      <c r="X36" s="10" t="n">
        <f aca="false">ROUND((I36*Rules!$B$27+J36*Rules!$B$27*Rules!$B$23+K36*Rules!$B$28+L36*Rules!$B$29+M36*Rules!$B$30+N36*Rules!$B$31+(O36*Rules!$B$32+P36*Rules!$B$33+Q36*Rules!$B$34)*IF(R36="Y",Rules!$B$23,1)+S36*Rules!$B$35-T36*Rules!$B$36+V36)*IF(C36="Power",Rules!$B$22,1),2)</f>
        <v>11</v>
      </c>
      <c r="Y36" s="10" t="n">
        <f aca="false">ROUND((D36*Rules!$B$16+Rules!$B$17+IF(E36="Uncommon",Rules!$B$19,IF(E36="Rare",Rules!$B$20,Rules!$B$18)))*IF(U36="Y",Rules!$B$21,1),2)</f>
        <v>11</v>
      </c>
      <c r="Z36" s="10" t="n">
        <f aca="false">X36-Y36</f>
        <v>0</v>
      </c>
      <c r="AA36" s="10" t="str">
        <f aca="false">IF(E36="Starter",IF(Z36&lt;0,"Starter (under on purpose)","Starter too strong"),IF(ABS(Z36)&lt;=Rules!$B$24,"Balanced",IF(Z36&gt;0,"Over budget","Under budget")))</f>
        <v>Balanced</v>
      </c>
    </row>
    <row r="37" customFormat="false" ht="26.85" hidden="false" customHeight="false" outlineLevel="0" collapsed="false">
      <c r="A37" s="10" t="s">
        <v>245</v>
      </c>
      <c r="B37" s="10" t="s">
        <v>246</v>
      </c>
      <c r="C37" s="10" t="s">
        <v>91</v>
      </c>
      <c r="D37" s="10" t="n">
        <v>2</v>
      </c>
      <c r="E37" s="10" t="s">
        <v>191</v>
      </c>
      <c r="F37" s="10" t="s">
        <v>130</v>
      </c>
      <c r="G37" s="11" t="s">
        <v>247</v>
      </c>
      <c r="H37" s="11" t="s">
        <v>248</v>
      </c>
      <c r="I37" s="12"/>
      <c r="J37" s="12"/>
      <c r="K37" s="12" t="n">
        <v>15</v>
      </c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1" t="s">
        <v>249</v>
      </c>
      <c r="X37" s="10" t="n">
        <f aca="false">ROUND((I37*Rules!$B$27+J37*Rules!$B$27*Rules!$B$23+K37*Rules!$B$28+L37*Rules!$B$29+M37*Rules!$B$30+N37*Rules!$B$31+(O37*Rules!$B$32+P37*Rules!$B$33+Q37*Rules!$B$34)*IF(R37="Y",Rules!$B$23,1)+S37*Rules!$B$35-T37*Rules!$B$36+V37)*IF(C37="Power",Rules!$B$22,1),2)</f>
        <v>18</v>
      </c>
      <c r="Y37" s="10" t="n">
        <f aca="false">ROUND((D37*Rules!$B$16+Rules!$B$17+IF(E37="Uncommon",Rules!$B$19,IF(E37="Rare",Rules!$B$20,Rules!$B$18)))*IF(U37="Y",Rules!$B$21,1),2)</f>
        <v>17</v>
      </c>
      <c r="Z37" s="10" t="n">
        <f aca="false">X37-Y37</f>
        <v>1</v>
      </c>
      <c r="AA37" s="10" t="str">
        <f aca="false">IF(E37="Starter",IF(Z37&lt;0,"Starter (under on purpose)","Starter too strong"),IF(ABS(Z37)&lt;=Rules!$B$24,"Balanced",IF(Z37&gt;0,"Over budget","Under budget")))</f>
        <v>Balanced</v>
      </c>
    </row>
    <row r="38" customFormat="false" ht="26.85" hidden="false" customHeight="false" outlineLevel="0" collapsed="false">
      <c r="A38" s="10" t="s">
        <v>250</v>
      </c>
      <c r="B38" s="10" t="s">
        <v>251</v>
      </c>
      <c r="C38" s="10" t="s">
        <v>91</v>
      </c>
      <c r="D38" s="10" t="n">
        <v>1</v>
      </c>
      <c r="E38" s="10" t="s">
        <v>191</v>
      </c>
      <c r="F38" s="10" t="s">
        <v>125</v>
      </c>
      <c r="G38" s="11" t="s">
        <v>252</v>
      </c>
      <c r="H38" s="11" t="s">
        <v>253</v>
      </c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 t="s">
        <v>166</v>
      </c>
      <c r="V38" s="12" t="n">
        <v>14</v>
      </c>
      <c r="W38" s="11" t="s">
        <v>254</v>
      </c>
      <c r="X38" s="10" t="n">
        <f aca="false">ROUND((I38*Rules!$B$27+J38*Rules!$B$27*Rules!$B$23+K38*Rules!$B$28+L38*Rules!$B$29+M38*Rules!$B$30+N38*Rules!$B$31+(O38*Rules!$B$32+P38*Rules!$B$33+Q38*Rules!$B$34)*IF(R38="Y",Rules!$B$23,1)+S38*Rules!$B$35-T38*Rules!$B$36+V38)*IF(C38="Power",Rules!$B$22,1),2)</f>
        <v>14</v>
      </c>
      <c r="Y38" s="10" t="n">
        <f aca="false">ROUND((D38*Rules!$B$16+Rules!$B$17+IF(E38="Uncommon",Rules!$B$19,IF(E38="Rare",Rules!$B$20,Rules!$B$18)))*IF(U38="Y",Rules!$B$21,1),2)</f>
        <v>14.3</v>
      </c>
      <c r="Z38" s="10" t="n">
        <f aca="false">X38-Y38</f>
        <v>-0.300000000000001</v>
      </c>
      <c r="AA38" s="10" t="str">
        <f aca="false">IF(E38="Starter",IF(Z38&lt;0,"Starter (under on purpose)","Starter too strong"),IF(ABS(Z38)&lt;=Rules!$B$24,"Balanced",IF(Z38&gt;0,"Over budget","Under budget")))</f>
        <v>Balanced</v>
      </c>
    </row>
    <row r="39" customFormat="false" ht="26.85" hidden="false" customHeight="false" outlineLevel="0" collapsed="false">
      <c r="A39" s="10" t="s">
        <v>255</v>
      </c>
      <c r="B39" s="10" t="s">
        <v>256</v>
      </c>
      <c r="C39" s="10" t="s">
        <v>212</v>
      </c>
      <c r="D39" s="10" t="n">
        <v>2</v>
      </c>
      <c r="E39" s="10" t="s">
        <v>257</v>
      </c>
      <c r="F39" s="10" t="s">
        <v>130</v>
      </c>
      <c r="G39" s="11" t="s">
        <v>258</v>
      </c>
      <c r="H39" s="11" t="s">
        <v>259</v>
      </c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 t="n">
        <v>9.5</v>
      </c>
      <c r="W39" s="11" t="s">
        <v>260</v>
      </c>
      <c r="X39" s="10" t="n">
        <f aca="false">ROUND((I39*Rules!$B$27+J39*Rules!$B$27*Rules!$B$23+K39*Rules!$B$28+L39*Rules!$B$29+M39*Rules!$B$30+N39*Rules!$B$31+(O39*Rules!$B$32+P39*Rules!$B$33+Q39*Rules!$B$34)*IF(R39="Y",Rules!$B$23,1)+S39*Rules!$B$35-T39*Rules!$B$36+V39)*IF(C39="Power",Rules!$B$22,1),2)</f>
        <v>19</v>
      </c>
      <c r="Y39" s="10" t="n">
        <f aca="false">ROUND((D39*Rules!$B$16+Rules!$B$17+IF(E39="Uncommon",Rules!$B$19,IF(E39="Rare",Rules!$B$20,Rules!$B$18)))*IF(U39="Y",Rules!$B$21,1),2)</f>
        <v>19</v>
      </c>
      <c r="Z39" s="10" t="n">
        <f aca="false">X39-Y39</f>
        <v>0</v>
      </c>
      <c r="AA39" s="10" t="str">
        <f aca="false">IF(E39="Starter",IF(Z39&lt;0,"Starter (under on purpose)","Starter too strong"),IF(ABS(Z39)&lt;=Rules!$B$24,"Balanced",IF(Z39&gt;0,"Over budget","Under budget")))</f>
        <v>Balanced</v>
      </c>
    </row>
    <row r="40" customFormat="false" ht="15" hidden="false" customHeight="false" outlineLevel="0" collapsed="false">
      <c r="A40" s="10" t="s">
        <v>261</v>
      </c>
      <c r="B40" s="10" t="s">
        <v>262</v>
      </c>
      <c r="C40" s="10" t="s">
        <v>91</v>
      </c>
      <c r="D40" s="10" t="n">
        <v>1</v>
      </c>
      <c r="E40" s="10" t="s">
        <v>257</v>
      </c>
      <c r="F40" s="10" t="s">
        <v>139</v>
      </c>
      <c r="G40" s="11" t="s">
        <v>263</v>
      </c>
      <c r="H40" s="11" t="s">
        <v>264</v>
      </c>
      <c r="I40" s="12"/>
      <c r="J40" s="12"/>
      <c r="K40" s="12"/>
      <c r="L40" s="12"/>
      <c r="M40" s="12" t="n">
        <v>1</v>
      </c>
      <c r="N40" s="12" t="n">
        <v>2</v>
      </c>
      <c r="O40" s="12"/>
      <c r="P40" s="12"/>
      <c r="Q40" s="12"/>
      <c r="R40" s="12"/>
      <c r="S40" s="12"/>
      <c r="T40" s="12"/>
      <c r="U40" s="12" t="s">
        <v>166</v>
      </c>
      <c r="V40" s="12"/>
      <c r="W40" s="11"/>
      <c r="X40" s="10" t="n">
        <f aca="false">ROUND((I40*Rules!$B$27+J40*Rules!$B$27*Rules!$B$23+K40*Rules!$B$28+L40*Rules!$B$29+M40*Rules!$B$30+N40*Rules!$B$31+(O40*Rules!$B$32+P40*Rules!$B$33+Q40*Rules!$B$34)*IF(R40="Y",Rules!$B$23,1)+S40*Rules!$B$35-T40*Rules!$B$36+V40)*IF(C40="Power",Rules!$B$22,1),2)</f>
        <v>16</v>
      </c>
      <c r="Y40" s="10" t="n">
        <f aca="false">ROUND((D40*Rules!$B$16+Rules!$B$17+IF(E40="Uncommon",Rules!$B$19,IF(E40="Rare",Rules!$B$20,Rules!$B$18)))*IF(U40="Y",Rules!$B$21,1),2)</f>
        <v>16.9</v>
      </c>
      <c r="Z40" s="10" t="n">
        <f aca="false">X40-Y40</f>
        <v>-0.899999999999999</v>
      </c>
      <c r="AA40" s="10" t="str">
        <f aca="false">IF(E40="Starter",IF(Z40&lt;0,"Starter (under on purpose)","Starter too strong"),IF(ABS(Z40)&lt;=Rules!$B$24,"Balanced",IF(Z40&gt;0,"Over budget","Under budget")))</f>
        <v>Balanced</v>
      </c>
    </row>
    <row r="41" customFormat="false" ht="26.85" hidden="false" customHeight="false" outlineLevel="0" collapsed="false">
      <c r="A41" s="10" t="s">
        <v>265</v>
      </c>
      <c r="B41" s="10" t="s">
        <v>266</v>
      </c>
      <c r="C41" s="10" t="s">
        <v>83</v>
      </c>
      <c r="D41" s="10" t="n">
        <v>3</v>
      </c>
      <c r="E41" s="10" t="s">
        <v>257</v>
      </c>
      <c r="F41" s="10" t="s">
        <v>106</v>
      </c>
      <c r="G41" s="11" t="s">
        <v>267</v>
      </c>
      <c r="H41" s="11" t="s">
        <v>268</v>
      </c>
      <c r="I41" s="12" t="n">
        <v>18</v>
      </c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 t="n">
        <v>7</v>
      </c>
      <c r="W41" s="11" t="s">
        <v>269</v>
      </c>
      <c r="X41" s="10" t="n">
        <f aca="false">ROUND((I41*Rules!$B$27+J41*Rules!$B$27*Rules!$B$23+K41*Rules!$B$28+L41*Rules!$B$29+M41*Rules!$B$30+N41*Rules!$B$31+(O41*Rules!$B$32+P41*Rules!$B$33+Q41*Rules!$B$34)*IF(R41="Y",Rules!$B$23,1)+S41*Rules!$B$35-T41*Rules!$B$36+V41)*IF(C41="Power",Rules!$B$22,1),2)</f>
        <v>25</v>
      </c>
      <c r="Y41" s="10" t="n">
        <f aca="false">ROUND((D41*Rules!$B$16+Rules!$B$17+IF(E41="Uncommon",Rules!$B$19,IF(E41="Rare",Rules!$B$20,Rules!$B$18)))*IF(U41="Y",Rules!$B$21,1),2)</f>
        <v>25</v>
      </c>
      <c r="Z41" s="10" t="n">
        <f aca="false">X41-Y41</f>
        <v>0</v>
      </c>
      <c r="AA41" s="10" t="str">
        <f aca="false">IF(E41="Starter",IF(Z41&lt;0,"Starter (under on purpose)","Starter too strong"),IF(ABS(Z41)&lt;=Rules!$B$24,"Balanced",IF(Z41&gt;0,"Over budget","Under budget")))</f>
        <v>Balanced</v>
      </c>
    </row>
    <row r="42" customFormat="false" ht="26.85" hidden="false" customHeight="false" outlineLevel="0" collapsed="false">
      <c r="A42" s="10" t="s">
        <v>270</v>
      </c>
      <c r="B42" s="10" t="s">
        <v>271</v>
      </c>
      <c r="C42" s="10" t="s">
        <v>212</v>
      </c>
      <c r="D42" s="10" t="n">
        <v>2</v>
      </c>
      <c r="E42" s="10" t="s">
        <v>257</v>
      </c>
      <c r="F42" s="10" t="s">
        <v>125</v>
      </c>
      <c r="G42" s="11" t="s">
        <v>272</v>
      </c>
      <c r="H42" s="11" t="s">
        <v>273</v>
      </c>
      <c r="I42" s="12"/>
      <c r="J42" s="12"/>
      <c r="K42" s="12"/>
      <c r="L42" s="12"/>
      <c r="M42" s="12"/>
      <c r="N42" s="12"/>
      <c r="O42" s="12"/>
      <c r="P42" s="12"/>
      <c r="Q42" s="12" t="n">
        <v>3</v>
      </c>
      <c r="R42" s="12" t="s">
        <v>166</v>
      </c>
      <c r="S42" s="12"/>
      <c r="T42" s="12"/>
      <c r="U42" s="12"/>
      <c r="V42" s="12" t="n">
        <v>2.5</v>
      </c>
      <c r="W42" s="11" t="s">
        <v>274</v>
      </c>
      <c r="X42" s="10" t="n">
        <f aca="false">ROUND((I42*Rules!$B$27+J42*Rules!$B$27*Rules!$B$23+K42*Rules!$B$28+L42*Rules!$B$29+M42*Rules!$B$30+N42*Rules!$B$31+(O42*Rules!$B$32+P42*Rules!$B$33+Q42*Rules!$B$34)*IF(R42="Y",Rules!$B$23,1)+S42*Rules!$B$35-T42*Rules!$B$36+V42)*IF(C42="Power",Rules!$B$22,1),2)</f>
        <v>18.5</v>
      </c>
      <c r="Y42" s="10" t="n">
        <f aca="false">ROUND((D42*Rules!$B$16+Rules!$B$17+IF(E42="Uncommon",Rules!$B$19,IF(E42="Rare",Rules!$B$20,Rules!$B$18)))*IF(U42="Y",Rules!$B$21,1),2)</f>
        <v>19</v>
      </c>
      <c r="Z42" s="10" t="n">
        <f aca="false">X42-Y42</f>
        <v>-0.5</v>
      </c>
      <c r="AA42" s="10" t="str">
        <f aca="false">IF(E42="Starter",IF(Z42&lt;0,"Starter (under on purpose)","Starter too strong"),IF(ABS(Z42)&lt;=Rules!$B$24,"Balanced",IF(Z42&gt;0,"Over budget","Under budget")))</f>
        <v>Balanced</v>
      </c>
    </row>
    <row r="43" customFormat="false" ht="15" hidden="false" customHeight="false" outlineLevel="0" collapsed="false">
      <c r="A43" s="10" t="s">
        <v>275</v>
      </c>
      <c r="B43" s="10" t="s">
        <v>276</v>
      </c>
      <c r="C43" s="10" t="s">
        <v>91</v>
      </c>
      <c r="D43" s="10" t="n">
        <v>1</v>
      </c>
      <c r="E43" s="10" t="s">
        <v>257</v>
      </c>
      <c r="F43" s="10" t="s">
        <v>85</v>
      </c>
      <c r="G43" s="11" t="s">
        <v>277</v>
      </c>
      <c r="H43" s="11" t="s">
        <v>278</v>
      </c>
      <c r="I43" s="12"/>
      <c r="J43" s="12"/>
      <c r="K43" s="12" t="n">
        <v>5</v>
      </c>
      <c r="L43" s="12" t="n">
        <v>7</v>
      </c>
      <c r="M43" s="12"/>
      <c r="N43" s="12"/>
      <c r="O43" s="12"/>
      <c r="P43" s="12"/>
      <c r="Q43" s="12"/>
      <c r="R43" s="12"/>
      <c r="S43" s="12"/>
      <c r="T43" s="12"/>
      <c r="U43" s="12" t="s">
        <v>166</v>
      </c>
      <c r="V43" s="12"/>
      <c r="W43" s="11" t="s">
        <v>279</v>
      </c>
      <c r="X43" s="10" t="n">
        <f aca="false">ROUND((I43*Rules!$B$27+J43*Rules!$B$27*Rules!$B$23+K43*Rules!$B$28+L43*Rules!$B$29+M43*Rules!$B$30+N43*Rules!$B$31+(O43*Rules!$B$32+P43*Rules!$B$33+Q43*Rules!$B$34)*IF(R43="Y",Rules!$B$23,1)+S43*Rules!$B$35-T43*Rules!$B$36+V43)*IF(C43="Power",Rules!$B$22,1),2)</f>
        <v>16.5</v>
      </c>
      <c r="Y43" s="10" t="n">
        <f aca="false">ROUND((D43*Rules!$B$16+Rules!$B$17+IF(E43="Uncommon",Rules!$B$19,IF(E43="Rare",Rules!$B$20,Rules!$B$18)))*IF(U43="Y",Rules!$B$21,1),2)</f>
        <v>16.9</v>
      </c>
      <c r="Z43" s="10" t="n">
        <f aca="false">X43-Y43</f>
        <v>-0.399999999999999</v>
      </c>
      <c r="AA43" s="10" t="str">
        <f aca="false">IF(E43="Starter",IF(Z43&lt;0,"Starter (under on purpose)","Starter too strong"),IF(ABS(Z43)&lt;=Rules!$B$24,"Balanced",IF(Z43&gt;0,"Over budget","Under budget")))</f>
        <v>Balanced</v>
      </c>
    </row>
    <row r="44" customFormat="false" ht="26.85" hidden="false" customHeight="false" outlineLevel="0" collapsed="false">
      <c r="A44" s="10" t="s">
        <v>280</v>
      </c>
      <c r="B44" s="10" t="s">
        <v>281</v>
      </c>
      <c r="C44" s="10" t="s">
        <v>212</v>
      </c>
      <c r="D44" s="10" t="n">
        <v>1</v>
      </c>
      <c r="E44" s="10" t="s">
        <v>257</v>
      </c>
      <c r="F44" s="10" t="s">
        <v>106</v>
      </c>
      <c r="G44" s="11" t="s">
        <v>282</v>
      </c>
      <c r="H44" s="11" t="s">
        <v>283</v>
      </c>
      <c r="I44" s="12"/>
      <c r="J44" s="12"/>
      <c r="K44" s="12"/>
      <c r="L44" s="12"/>
      <c r="M44" s="12"/>
      <c r="N44" s="12" t="n">
        <v>1</v>
      </c>
      <c r="O44" s="12"/>
      <c r="P44" s="12"/>
      <c r="Q44" s="12"/>
      <c r="R44" s="12"/>
      <c r="S44" s="12"/>
      <c r="T44" s="12"/>
      <c r="U44" s="12"/>
      <c r="V44" s="12"/>
      <c r="W44" s="11" t="s">
        <v>284</v>
      </c>
      <c r="X44" s="10" t="n">
        <f aca="false">ROUND((I44*Rules!$B$27+J44*Rules!$B$27*Rules!$B$23+K44*Rules!$B$28+L44*Rules!$B$29+M44*Rules!$B$30+N44*Rules!$B$31+(O44*Rules!$B$32+P44*Rules!$B$33+Q44*Rules!$B$34)*IF(R44="Y",Rules!$B$23,1)+S44*Rules!$B$35-T44*Rules!$B$36+V44)*IF(C44="Power",Rules!$B$22,1),2)</f>
        <v>12</v>
      </c>
      <c r="Y44" s="10" t="n">
        <f aca="false">ROUND((D44*Rules!$B$16+Rules!$B$17+IF(E44="Uncommon",Rules!$B$19,IF(E44="Rare",Rules!$B$20,Rules!$B$18)))*IF(U44="Y",Rules!$B$21,1),2)</f>
        <v>13</v>
      </c>
      <c r="Z44" s="10" t="n">
        <f aca="false">X44-Y44</f>
        <v>-1</v>
      </c>
      <c r="AA44" s="10" t="str">
        <f aca="false">IF(E44="Starter",IF(Z44&lt;0,"Starter (under on purpose)","Starter too strong"),IF(ABS(Z44)&lt;=Rules!$B$24,"Balanced",IF(Z44&gt;0,"Over budget","Under budget")))</f>
        <v>Balanced</v>
      </c>
    </row>
    <row r="45" customFormat="false" ht="15" hidden="false" customHeight="false" outlineLevel="0" collapsed="false">
      <c r="A45" s="13"/>
      <c r="B45" s="13"/>
      <c r="C45" s="13"/>
      <c r="D45" s="13"/>
      <c r="E45" s="13"/>
      <c r="F45" s="13"/>
      <c r="G45" s="13"/>
      <c r="H45" s="13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3"/>
      <c r="X45" s="10" t="str">
        <f aca="false">IF(B45="","",ROUND((I45*Rules!$B$27+J45*Rules!$B$27*Rules!$B$23+K45*Rules!$B$28+L45*Rules!$B$29+M45*Rules!$B$30+N45*Rules!$B$31+(O45*Rules!$B$32+P45*Rules!$B$33+Q45*Rules!$B$34)*IF(R45="Y",Rules!$B$23,1)+S45*Rules!$B$35-T45*Rules!$B$36+V45)*IF(C45="Power",Rules!$B$22,1),2))</f>
        <v/>
      </c>
      <c r="Y45" s="10" t="str">
        <f aca="false">IF(B45="","",ROUND((D45*Rules!$B$16+Rules!$B$17+IF(E45="Uncommon",Rules!$B$19,IF(E45="Rare",Rules!$B$20,Rules!$B$18)))*IF(U45="Y",Rules!$B$21,1),2))</f>
        <v/>
      </c>
      <c r="Z45" s="10" t="str">
        <f aca="false">IF(B45="","",X45-Y45)</f>
        <v/>
      </c>
      <c r="AA45" s="10" t="str">
        <f aca="false">IF(B45="","",IF(E45="Starter",IF(Z45&lt;0,"Starter (under on purpose)","Starter too strong"),IF(ABS(Z45)&lt;=Rules!$B$24,"Balanced",IF(Z45&gt;0,"Over budget","Under budget"))))</f>
        <v/>
      </c>
    </row>
    <row r="46" customFormat="false" ht="15" hidden="false" customHeight="false" outlineLevel="0" collapsed="false">
      <c r="A46" s="13"/>
      <c r="B46" s="13"/>
      <c r="C46" s="13"/>
      <c r="D46" s="13"/>
      <c r="E46" s="13"/>
      <c r="F46" s="13"/>
      <c r="G46" s="13"/>
      <c r="H46" s="13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3"/>
      <c r="X46" s="10" t="str">
        <f aca="false">IF(B46="","",ROUND((I46*Rules!$B$27+J46*Rules!$B$27*Rules!$B$23+K46*Rules!$B$28+L46*Rules!$B$29+M46*Rules!$B$30+N46*Rules!$B$31+(O46*Rules!$B$32+P46*Rules!$B$33+Q46*Rules!$B$34)*IF(R46="Y",Rules!$B$23,1)+S46*Rules!$B$35-T46*Rules!$B$36+V46)*IF(C46="Power",Rules!$B$22,1),2))</f>
        <v/>
      </c>
      <c r="Y46" s="10" t="str">
        <f aca="false">IF(B46="","",ROUND((D46*Rules!$B$16+Rules!$B$17+IF(E46="Uncommon",Rules!$B$19,IF(E46="Rare",Rules!$B$20,Rules!$B$18)))*IF(U46="Y",Rules!$B$21,1),2))</f>
        <v/>
      </c>
      <c r="Z46" s="10" t="str">
        <f aca="false">IF(B46="","",X46-Y46)</f>
        <v/>
      </c>
      <c r="AA46" s="10" t="str">
        <f aca="false">IF(B46="","",IF(E46="Starter",IF(Z46&lt;0,"Starter (under on purpose)","Starter too strong"),IF(ABS(Z46)&lt;=Rules!$B$24,"Balanced",IF(Z46&gt;0,"Over budget","Under budget"))))</f>
        <v/>
      </c>
    </row>
    <row r="47" customFormat="false" ht="15" hidden="false" customHeight="false" outlineLevel="0" collapsed="false">
      <c r="A47" s="13"/>
      <c r="B47" s="13"/>
      <c r="C47" s="13"/>
      <c r="D47" s="13"/>
      <c r="E47" s="13"/>
      <c r="F47" s="13"/>
      <c r="G47" s="13"/>
      <c r="H47" s="13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3"/>
      <c r="X47" s="10" t="str">
        <f aca="false">IF(B47="","",ROUND((I47*Rules!$B$27+J47*Rules!$B$27*Rules!$B$23+K47*Rules!$B$28+L47*Rules!$B$29+M47*Rules!$B$30+N47*Rules!$B$31+(O47*Rules!$B$32+P47*Rules!$B$33+Q47*Rules!$B$34)*IF(R47="Y",Rules!$B$23,1)+S47*Rules!$B$35-T47*Rules!$B$36+V47)*IF(C47="Power",Rules!$B$22,1),2))</f>
        <v/>
      </c>
      <c r="Y47" s="10" t="str">
        <f aca="false">IF(B47="","",ROUND((D47*Rules!$B$16+Rules!$B$17+IF(E47="Uncommon",Rules!$B$19,IF(E47="Rare",Rules!$B$20,Rules!$B$18)))*IF(U47="Y",Rules!$B$21,1),2))</f>
        <v/>
      </c>
      <c r="Z47" s="10" t="str">
        <f aca="false">IF(B47="","",X47-Y47)</f>
        <v/>
      </c>
      <c r="AA47" s="10" t="str">
        <f aca="false">IF(B47="","",IF(E47="Starter",IF(Z47&lt;0,"Starter (under on purpose)","Starter too strong"),IF(ABS(Z47)&lt;=Rules!$B$24,"Balanced",IF(Z47&gt;0,"Over budget","Under budget"))))</f>
        <v/>
      </c>
    </row>
    <row r="48" customFormat="false" ht="15" hidden="false" customHeight="false" outlineLevel="0" collapsed="false">
      <c r="A48" s="13"/>
      <c r="B48" s="13"/>
      <c r="C48" s="13"/>
      <c r="D48" s="13"/>
      <c r="E48" s="13"/>
      <c r="F48" s="13"/>
      <c r="G48" s="13"/>
      <c r="H48" s="13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3"/>
      <c r="X48" s="10" t="str">
        <f aca="false">IF(B48="","",ROUND((I48*Rules!$B$27+J48*Rules!$B$27*Rules!$B$23+K48*Rules!$B$28+L48*Rules!$B$29+M48*Rules!$B$30+N48*Rules!$B$31+(O48*Rules!$B$32+P48*Rules!$B$33+Q48*Rules!$B$34)*IF(R48="Y",Rules!$B$23,1)+S48*Rules!$B$35-T48*Rules!$B$36+V48)*IF(C48="Power",Rules!$B$22,1),2))</f>
        <v/>
      </c>
      <c r="Y48" s="10" t="str">
        <f aca="false">IF(B48="","",ROUND((D48*Rules!$B$16+Rules!$B$17+IF(E48="Uncommon",Rules!$B$19,IF(E48="Rare",Rules!$B$20,Rules!$B$18)))*IF(U48="Y",Rules!$B$21,1),2))</f>
        <v/>
      </c>
      <c r="Z48" s="10" t="str">
        <f aca="false">IF(B48="","",X48-Y48)</f>
        <v/>
      </c>
      <c r="AA48" s="10" t="str">
        <f aca="false">IF(B48="","",IF(E48="Starter",IF(Z48&lt;0,"Starter (under on purpose)","Starter too strong"),IF(ABS(Z48)&lt;=Rules!$B$24,"Balanced",IF(Z48&gt;0,"Over budget","Under budget"))))</f>
        <v/>
      </c>
    </row>
    <row r="49" customFormat="false" ht="15" hidden="false" customHeight="false" outlineLevel="0" collapsed="false">
      <c r="A49" s="13"/>
      <c r="B49" s="13"/>
      <c r="C49" s="13"/>
      <c r="D49" s="13"/>
      <c r="E49" s="13"/>
      <c r="F49" s="13"/>
      <c r="G49" s="13"/>
      <c r="H49" s="13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3"/>
      <c r="X49" s="10" t="str">
        <f aca="false">IF(B49="","",ROUND((I49*Rules!$B$27+J49*Rules!$B$27*Rules!$B$23+K49*Rules!$B$28+L49*Rules!$B$29+M49*Rules!$B$30+N49*Rules!$B$31+(O49*Rules!$B$32+P49*Rules!$B$33+Q49*Rules!$B$34)*IF(R49="Y",Rules!$B$23,1)+S49*Rules!$B$35-T49*Rules!$B$36+V49)*IF(C49="Power",Rules!$B$22,1),2))</f>
        <v/>
      </c>
      <c r="Y49" s="10" t="str">
        <f aca="false">IF(B49="","",ROUND((D49*Rules!$B$16+Rules!$B$17+IF(E49="Uncommon",Rules!$B$19,IF(E49="Rare",Rules!$B$20,Rules!$B$18)))*IF(U49="Y",Rules!$B$21,1),2))</f>
        <v/>
      </c>
      <c r="Z49" s="10" t="str">
        <f aca="false">IF(B49="","",X49-Y49)</f>
        <v/>
      </c>
      <c r="AA49" s="10" t="str">
        <f aca="false">IF(B49="","",IF(E49="Starter",IF(Z49&lt;0,"Starter (under on purpose)","Starter too strong"),IF(ABS(Z49)&lt;=Rules!$B$24,"Balanced",IF(Z49&gt;0,"Over budget","Under budget"))))</f>
        <v/>
      </c>
    </row>
    <row r="50" customFormat="false" ht="15" hidden="false" customHeight="false" outlineLevel="0" collapsed="false">
      <c r="A50" s="13"/>
      <c r="B50" s="13"/>
      <c r="C50" s="13"/>
      <c r="D50" s="13"/>
      <c r="E50" s="13"/>
      <c r="F50" s="13"/>
      <c r="G50" s="13"/>
      <c r="H50" s="13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3"/>
      <c r="X50" s="10" t="str">
        <f aca="false">IF(B50="","",ROUND((I50*Rules!$B$27+J50*Rules!$B$27*Rules!$B$23+K50*Rules!$B$28+L50*Rules!$B$29+M50*Rules!$B$30+N50*Rules!$B$31+(O50*Rules!$B$32+P50*Rules!$B$33+Q50*Rules!$B$34)*IF(R50="Y",Rules!$B$23,1)+S50*Rules!$B$35-T50*Rules!$B$36+V50)*IF(C50="Power",Rules!$B$22,1),2))</f>
        <v/>
      </c>
      <c r="Y50" s="10" t="str">
        <f aca="false">IF(B50="","",ROUND((D50*Rules!$B$16+Rules!$B$17+IF(E50="Uncommon",Rules!$B$19,IF(E50="Rare",Rules!$B$20,Rules!$B$18)))*IF(U50="Y",Rules!$B$21,1),2))</f>
        <v/>
      </c>
      <c r="Z50" s="10" t="str">
        <f aca="false">IF(B50="","",X50-Y50)</f>
        <v/>
      </c>
      <c r="AA50" s="10" t="str">
        <f aca="false">IF(B50="","",IF(E50="Starter",IF(Z50&lt;0,"Starter (under on purpose)","Starter too strong"),IF(ABS(Z50)&lt;=Rules!$B$24,"Balanced",IF(Z50&gt;0,"Over budget","Under budget"))))</f>
        <v/>
      </c>
    </row>
    <row r="51" customFormat="false" ht="15" hidden="false" customHeight="false" outlineLevel="0" collapsed="false">
      <c r="A51" s="13"/>
      <c r="B51" s="13"/>
      <c r="C51" s="13"/>
      <c r="D51" s="13"/>
      <c r="E51" s="13"/>
      <c r="F51" s="13"/>
      <c r="G51" s="13"/>
      <c r="H51" s="13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3"/>
      <c r="X51" s="10" t="str">
        <f aca="false">IF(B51="","",ROUND((I51*Rules!$B$27+J51*Rules!$B$27*Rules!$B$23+K51*Rules!$B$28+L51*Rules!$B$29+M51*Rules!$B$30+N51*Rules!$B$31+(O51*Rules!$B$32+P51*Rules!$B$33+Q51*Rules!$B$34)*IF(R51="Y",Rules!$B$23,1)+S51*Rules!$B$35-T51*Rules!$B$36+V51)*IF(C51="Power",Rules!$B$22,1),2))</f>
        <v/>
      </c>
      <c r="Y51" s="10" t="str">
        <f aca="false">IF(B51="","",ROUND((D51*Rules!$B$16+Rules!$B$17+IF(E51="Uncommon",Rules!$B$19,IF(E51="Rare",Rules!$B$20,Rules!$B$18)))*IF(U51="Y",Rules!$B$21,1),2))</f>
        <v/>
      </c>
      <c r="Z51" s="10" t="str">
        <f aca="false">IF(B51="","",X51-Y51)</f>
        <v/>
      </c>
      <c r="AA51" s="10" t="str">
        <f aca="false">IF(B51="","",IF(E51="Starter",IF(Z51&lt;0,"Starter (under on purpose)","Starter too strong"),IF(ABS(Z51)&lt;=Rules!$B$24,"Balanced",IF(Z51&gt;0,"Over budget","Under budget"))))</f>
        <v/>
      </c>
    </row>
    <row r="52" customFormat="false" ht="15" hidden="false" customHeight="false" outlineLevel="0" collapsed="false">
      <c r="A52" s="13"/>
      <c r="B52" s="13"/>
      <c r="C52" s="13"/>
      <c r="D52" s="13"/>
      <c r="E52" s="13"/>
      <c r="F52" s="13"/>
      <c r="G52" s="13"/>
      <c r="H52" s="13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3"/>
      <c r="X52" s="10" t="str">
        <f aca="false">IF(B52="","",ROUND((I52*Rules!$B$27+J52*Rules!$B$27*Rules!$B$23+K52*Rules!$B$28+L52*Rules!$B$29+M52*Rules!$B$30+N52*Rules!$B$31+(O52*Rules!$B$32+P52*Rules!$B$33+Q52*Rules!$B$34)*IF(R52="Y",Rules!$B$23,1)+S52*Rules!$B$35-T52*Rules!$B$36+V52)*IF(C52="Power",Rules!$B$22,1),2))</f>
        <v/>
      </c>
      <c r="Y52" s="10" t="str">
        <f aca="false">IF(B52="","",ROUND((D52*Rules!$B$16+Rules!$B$17+IF(E52="Uncommon",Rules!$B$19,IF(E52="Rare",Rules!$B$20,Rules!$B$18)))*IF(U52="Y",Rules!$B$21,1),2))</f>
        <v/>
      </c>
      <c r="Z52" s="10" t="str">
        <f aca="false">IF(B52="","",X52-Y52)</f>
        <v/>
      </c>
      <c r="AA52" s="10" t="str">
        <f aca="false">IF(B52="","",IF(E52="Starter",IF(Z52&lt;0,"Starter (under on purpose)","Starter too strong"),IF(ABS(Z52)&lt;=Rules!$B$24,"Balanced",IF(Z52&gt;0,"Over budget","Under budget"))))</f>
        <v/>
      </c>
    </row>
    <row r="53" customFormat="false" ht="15" hidden="false" customHeight="false" outlineLevel="0" collapsed="false">
      <c r="A53" s="13"/>
      <c r="B53" s="13"/>
      <c r="C53" s="13"/>
      <c r="D53" s="13"/>
      <c r="E53" s="13"/>
      <c r="F53" s="13"/>
      <c r="G53" s="13"/>
      <c r="H53" s="13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3"/>
      <c r="X53" s="10" t="str">
        <f aca="false">IF(B53="","",ROUND((I53*Rules!$B$27+J53*Rules!$B$27*Rules!$B$23+K53*Rules!$B$28+L53*Rules!$B$29+M53*Rules!$B$30+N53*Rules!$B$31+(O53*Rules!$B$32+P53*Rules!$B$33+Q53*Rules!$B$34)*IF(R53="Y",Rules!$B$23,1)+S53*Rules!$B$35-T53*Rules!$B$36+V53)*IF(C53="Power",Rules!$B$22,1),2))</f>
        <v/>
      </c>
      <c r="Y53" s="10" t="str">
        <f aca="false">IF(B53="","",ROUND((D53*Rules!$B$16+Rules!$B$17+IF(E53="Uncommon",Rules!$B$19,IF(E53="Rare",Rules!$B$20,Rules!$B$18)))*IF(U53="Y",Rules!$B$21,1),2))</f>
        <v/>
      </c>
      <c r="Z53" s="10" t="str">
        <f aca="false">IF(B53="","",X53-Y53)</f>
        <v/>
      </c>
      <c r="AA53" s="10" t="str">
        <f aca="false">IF(B53="","",IF(E53="Starter",IF(Z53&lt;0,"Starter (under on purpose)","Starter too strong"),IF(ABS(Z53)&lt;=Rules!$B$24,"Balanced",IF(Z53&gt;0,"Over budget","Under budget"))))</f>
        <v/>
      </c>
    </row>
    <row r="54" customFormat="false" ht="15" hidden="false" customHeight="false" outlineLevel="0" collapsed="false">
      <c r="A54" s="13"/>
      <c r="B54" s="13"/>
      <c r="C54" s="13"/>
      <c r="D54" s="13"/>
      <c r="E54" s="13"/>
      <c r="F54" s="13"/>
      <c r="G54" s="13"/>
      <c r="H54" s="13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3"/>
      <c r="X54" s="10" t="str">
        <f aca="false">IF(B54="","",ROUND((I54*Rules!$B$27+J54*Rules!$B$27*Rules!$B$23+K54*Rules!$B$28+L54*Rules!$B$29+M54*Rules!$B$30+N54*Rules!$B$31+(O54*Rules!$B$32+P54*Rules!$B$33+Q54*Rules!$B$34)*IF(R54="Y",Rules!$B$23,1)+S54*Rules!$B$35-T54*Rules!$B$36+V54)*IF(C54="Power",Rules!$B$22,1),2))</f>
        <v/>
      </c>
      <c r="Y54" s="10" t="str">
        <f aca="false">IF(B54="","",ROUND((D54*Rules!$B$16+Rules!$B$17+IF(E54="Uncommon",Rules!$B$19,IF(E54="Rare",Rules!$B$20,Rules!$B$18)))*IF(U54="Y",Rules!$B$21,1),2))</f>
        <v/>
      </c>
      <c r="Z54" s="10" t="str">
        <f aca="false">IF(B54="","",X54-Y54)</f>
        <v/>
      </c>
      <c r="AA54" s="10" t="str">
        <f aca="false">IF(B54="","",IF(E54="Starter",IF(Z54&lt;0,"Starter (under on purpose)","Starter too strong"),IF(ABS(Z54)&lt;=Rules!$B$24,"Balanced",IF(Z54&gt;0,"Over budget","Under budget"))))</f>
        <v/>
      </c>
    </row>
    <row r="55" customFormat="false" ht="15" hidden="false" customHeight="false" outlineLevel="0" collapsed="false">
      <c r="A55" s="13"/>
      <c r="B55" s="13"/>
      <c r="C55" s="13"/>
      <c r="D55" s="13"/>
      <c r="E55" s="13"/>
      <c r="F55" s="13"/>
      <c r="G55" s="13"/>
      <c r="H55" s="13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3"/>
      <c r="X55" s="10" t="str">
        <f aca="false">IF(B55="","",ROUND((I55*Rules!$B$27+J55*Rules!$B$27*Rules!$B$23+K55*Rules!$B$28+L55*Rules!$B$29+M55*Rules!$B$30+N55*Rules!$B$31+(O55*Rules!$B$32+P55*Rules!$B$33+Q55*Rules!$B$34)*IF(R55="Y",Rules!$B$23,1)+S55*Rules!$B$35-T55*Rules!$B$36+V55)*IF(C55="Power",Rules!$B$22,1),2))</f>
        <v/>
      </c>
      <c r="Y55" s="10" t="str">
        <f aca="false">IF(B55="","",ROUND((D55*Rules!$B$16+Rules!$B$17+IF(E55="Uncommon",Rules!$B$19,IF(E55="Rare",Rules!$B$20,Rules!$B$18)))*IF(U55="Y",Rules!$B$21,1),2))</f>
        <v/>
      </c>
      <c r="Z55" s="10" t="str">
        <f aca="false">IF(B55="","",X55-Y55)</f>
        <v/>
      </c>
      <c r="AA55" s="10" t="str">
        <f aca="false">IF(B55="","",IF(E55="Starter",IF(Z55&lt;0,"Starter (under on purpose)","Starter too strong"),IF(ABS(Z55)&lt;=Rules!$B$24,"Balanced",IF(Z55&gt;0,"Over budget","Under budget"))))</f>
        <v/>
      </c>
    </row>
    <row r="56" customFormat="false" ht="15" hidden="false" customHeight="false" outlineLevel="0" collapsed="false">
      <c r="A56" s="13"/>
      <c r="B56" s="13"/>
      <c r="C56" s="13"/>
      <c r="D56" s="13"/>
      <c r="E56" s="13"/>
      <c r="F56" s="13"/>
      <c r="G56" s="13"/>
      <c r="H56" s="13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3"/>
      <c r="X56" s="10" t="str">
        <f aca="false">IF(B56="","",ROUND((I56*Rules!$B$27+J56*Rules!$B$27*Rules!$B$23+K56*Rules!$B$28+L56*Rules!$B$29+M56*Rules!$B$30+N56*Rules!$B$31+(O56*Rules!$B$32+P56*Rules!$B$33+Q56*Rules!$B$34)*IF(R56="Y",Rules!$B$23,1)+S56*Rules!$B$35-T56*Rules!$B$36+V56)*IF(C56="Power",Rules!$B$22,1),2))</f>
        <v/>
      </c>
      <c r="Y56" s="10" t="str">
        <f aca="false">IF(B56="","",ROUND((D56*Rules!$B$16+Rules!$B$17+IF(E56="Uncommon",Rules!$B$19,IF(E56="Rare",Rules!$B$20,Rules!$B$18)))*IF(U56="Y",Rules!$B$21,1),2))</f>
        <v/>
      </c>
      <c r="Z56" s="10" t="str">
        <f aca="false">IF(B56="","",X56-Y56)</f>
        <v/>
      </c>
      <c r="AA56" s="10" t="str">
        <f aca="false">IF(B56="","",IF(E56="Starter",IF(Z56&lt;0,"Starter (under on purpose)","Starter too strong"),IF(ABS(Z56)&lt;=Rules!$B$24,"Balanced",IF(Z56&gt;0,"Over budget","Under budget"))))</f>
        <v/>
      </c>
    </row>
    <row r="57" customFormat="false" ht="15" hidden="false" customHeight="false" outlineLevel="0" collapsed="false">
      <c r="A57" s="13"/>
      <c r="B57" s="13"/>
      <c r="C57" s="13"/>
      <c r="D57" s="13"/>
      <c r="E57" s="13"/>
      <c r="F57" s="13"/>
      <c r="G57" s="13"/>
      <c r="H57" s="13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3"/>
      <c r="X57" s="10" t="str">
        <f aca="false">IF(B57="","",ROUND((I57*Rules!$B$27+J57*Rules!$B$27*Rules!$B$23+K57*Rules!$B$28+L57*Rules!$B$29+M57*Rules!$B$30+N57*Rules!$B$31+(O57*Rules!$B$32+P57*Rules!$B$33+Q57*Rules!$B$34)*IF(R57="Y",Rules!$B$23,1)+S57*Rules!$B$35-T57*Rules!$B$36+V57)*IF(C57="Power",Rules!$B$22,1),2))</f>
        <v/>
      </c>
      <c r="Y57" s="10" t="str">
        <f aca="false">IF(B57="","",ROUND((D57*Rules!$B$16+Rules!$B$17+IF(E57="Uncommon",Rules!$B$19,IF(E57="Rare",Rules!$B$20,Rules!$B$18)))*IF(U57="Y",Rules!$B$21,1),2))</f>
        <v/>
      </c>
      <c r="Z57" s="10" t="str">
        <f aca="false">IF(B57="","",X57-Y57)</f>
        <v/>
      </c>
      <c r="AA57" s="10" t="str">
        <f aca="false">IF(B57="","",IF(E57="Starter",IF(Z57&lt;0,"Starter (under on purpose)","Starter too strong"),IF(ABS(Z57)&lt;=Rules!$B$24,"Balanced",IF(Z57&gt;0,"Over budget","Under budget"))))</f>
        <v/>
      </c>
    </row>
    <row r="58" customFormat="false" ht="15" hidden="false" customHeight="false" outlineLevel="0" collapsed="false">
      <c r="A58" s="13"/>
      <c r="B58" s="13"/>
      <c r="C58" s="13"/>
      <c r="D58" s="13"/>
      <c r="E58" s="13"/>
      <c r="F58" s="13"/>
      <c r="G58" s="13"/>
      <c r="H58" s="13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3"/>
      <c r="X58" s="10" t="str">
        <f aca="false">IF(B58="","",ROUND((I58*Rules!$B$27+J58*Rules!$B$27*Rules!$B$23+K58*Rules!$B$28+L58*Rules!$B$29+M58*Rules!$B$30+N58*Rules!$B$31+(O58*Rules!$B$32+P58*Rules!$B$33+Q58*Rules!$B$34)*IF(R58="Y",Rules!$B$23,1)+S58*Rules!$B$35-T58*Rules!$B$36+V58)*IF(C58="Power",Rules!$B$22,1),2))</f>
        <v/>
      </c>
      <c r="Y58" s="10" t="str">
        <f aca="false">IF(B58="","",ROUND((D58*Rules!$B$16+Rules!$B$17+IF(E58="Uncommon",Rules!$B$19,IF(E58="Rare",Rules!$B$20,Rules!$B$18)))*IF(U58="Y",Rules!$B$21,1),2))</f>
        <v/>
      </c>
      <c r="Z58" s="10" t="str">
        <f aca="false">IF(B58="","",X58-Y58)</f>
        <v/>
      </c>
      <c r="AA58" s="10" t="str">
        <f aca="false">IF(B58="","",IF(E58="Starter",IF(Z58&lt;0,"Starter (under on purpose)","Starter too strong"),IF(ABS(Z58)&lt;=Rules!$B$24,"Balanced",IF(Z58&gt;0,"Over budget","Under budget"))))</f>
        <v/>
      </c>
    </row>
    <row r="59" customFormat="false" ht="15" hidden="false" customHeight="false" outlineLevel="0" collapsed="false">
      <c r="A59" s="13"/>
      <c r="B59" s="13"/>
      <c r="C59" s="13"/>
      <c r="D59" s="13"/>
      <c r="E59" s="13"/>
      <c r="F59" s="13"/>
      <c r="G59" s="13"/>
      <c r="H59" s="13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3"/>
      <c r="X59" s="10" t="str">
        <f aca="false">IF(B59="","",ROUND((I59*Rules!$B$27+J59*Rules!$B$27*Rules!$B$23+K59*Rules!$B$28+L59*Rules!$B$29+M59*Rules!$B$30+N59*Rules!$B$31+(O59*Rules!$B$32+P59*Rules!$B$33+Q59*Rules!$B$34)*IF(R59="Y",Rules!$B$23,1)+S59*Rules!$B$35-T59*Rules!$B$36+V59)*IF(C59="Power",Rules!$B$22,1),2))</f>
        <v/>
      </c>
      <c r="Y59" s="10" t="str">
        <f aca="false">IF(B59="","",ROUND((D59*Rules!$B$16+Rules!$B$17+IF(E59="Uncommon",Rules!$B$19,IF(E59="Rare",Rules!$B$20,Rules!$B$18)))*IF(U59="Y",Rules!$B$21,1),2))</f>
        <v/>
      </c>
      <c r="Z59" s="10" t="str">
        <f aca="false">IF(B59="","",X59-Y59)</f>
        <v/>
      </c>
      <c r="AA59" s="10" t="str">
        <f aca="false">IF(B59="","",IF(E59="Starter",IF(Z59&lt;0,"Starter (under on purpose)","Starter too strong"),IF(ABS(Z59)&lt;=Rules!$B$24,"Balanced",IF(Z59&gt;0,"Over budget","Under budget"))))</f>
        <v/>
      </c>
    </row>
    <row r="60" customFormat="false" ht="15" hidden="false" customHeight="false" outlineLevel="0" collapsed="false">
      <c r="A60" s="13"/>
      <c r="B60" s="13"/>
      <c r="C60" s="13"/>
      <c r="D60" s="13"/>
      <c r="E60" s="13"/>
      <c r="F60" s="13"/>
      <c r="G60" s="13"/>
      <c r="H60" s="13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3"/>
      <c r="X60" s="10" t="str">
        <f aca="false">IF(B60="","",ROUND((I60*Rules!$B$27+J60*Rules!$B$27*Rules!$B$23+K60*Rules!$B$28+L60*Rules!$B$29+M60*Rules!$B$30+N60*Rules!$B$31+(O60*Rules!$B$32+P60*Rules!$B$33+Q60*Rules!$B$34)*IF(R60="Y",Rules!$B$23,1)+S60*Rules!$B$35-T60*Rules!$B$36+V60)*IF(C60="Power",Rules!$B$22,1),2))</f>
        <v/>
      </c>
      <c r="Y60" s="10" t="str">
        <f aca="false">IF(B60="","",ROUND((D60*Rules!$B$16+Rules!$B$17+IF(E60="Uncommon",Rules!$B$19,IF(E60="Rare",Rules!$B$20,Rules!$B$18)))*IF(U60="Y",Rules!$B$21,1),2))</f>
        <v/>
      </c>
      <c r="Z60" s="10" t="str">
        <f aca="false">IF(B60="","",X60-Y60)</f>
        <v/>
      </c>
      <c r="AA60" s="10" t="str">
        <f aca="false">IF(B60="","",IF(E60="Starter",IF(Z60&lt;0,"Starter (under on purpose)","Starter too strong"),IF(ABS(Z60)&lt;=Rules!$B$24,"Balanced",IF(Z60&gt;0,"Over budget","Under budget"))))</f>
        <v/>
      </c>
    </row>
    <row r="61" customFormat="false" ht="15" hidden="false" customHeight="false" outlineLevel="0" collapsed="false">
      <c r="A61" s="13"/>
      <c r="B61" s="13"/>
      <c r="C61" s="13"/>
      <c r="D61" s="13"/>
      <c r="E61" s="13"/>
      <c r="F61" s="13"/>
      <c r="G61" s="13"/>
      <c r="H61" s="13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3"/>
      <c r="X61" s="10" t="str">
        <f aca="false">IF(B61="","",ROUND((I61*Rules!$B$27+J61*Rules!$B$27*Rules!$B$23+K61*Rules!$B$28+L61*Rules!$B$29+M61*Rules!$B$30+N61*Rules!$B$31+(O61*Rules!$B$32+P61*Rules!$B$33+Q61*Rules!$B$34)*IF(R61="Y",Rules!$B$23,1)+S61*Rules!$B$35-T61*Rules!$B$36+V61)*IF(C61="Power",Rules!$B$22,1),2))</f>
        <v/>
      </c>
      <c r="Y61" s="10" t="str">
        <f aca="false">IF(B61="","",ROUND((D61*Rules!$B$16+Rules!$B$17+IF(E61="Uncommon",Rules!$B$19,IF(E61="Rare",Rules!$B$20,Rules!$B$18)))*IF(U61="Y",Rules!$B$21,1),2))</f>
        <v/>
      </c>
      <c r="Z61" s="10" t="str">
        <f aca="false">IF(B61="","",X61-Y61)</f>
        <v/>
      </c>
      <c r="AA61" s="10" t="str">
        <f aca="false">IF(B61="","",IF(E61="Starter",IF(Z61&lt;0,"Starter (under on purpose)","Starter too strong"),IF(ABS(Z61)&lt;=Rules!$B$24,"Balanced",IF(Z61&gt;0,"Over budget","Under budget"))))</f>
        <v/>
      </c>
    </row>
    <row r="62" customFormat="false" ht="15" hidden="false" customHeight="false" outlineLevel="0" collapsed="false">
      <c r="A62" s="13"/>
      <c r="B62" s="13"/>
      <c r="C62" s="13"/>
      <c r="D62" s="13"/>
      <c r="E62" s="13"/>
      <c r="F62" s="13"/>
      <c r="G62" s="13"/>
      <c r="H62" s="13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3"/>
      <c r="X62" s="10" t="str">
        <f aca="false">IF(B62="","",ROUND((I62*Rules!$B$27+J62*Rules!$B$27*Rules!$B$23+K62*Rules!$B$28+L62*Rules!$B$29+M62*Rules!$B$30+N62*Rules!$B$31+(O62*Rules!$B$32+P62*Rules!$B$33+Q62*Rules!$B$34)*IF(R62="Y",Rules!$B$23,1)+S62*Rules!$B$35-T62*Rules!$B$36+V62)*IF(C62="Power",Rules!$B$22,1),2))</f>
        <v/>
      </c>
      <c r="Y62" s="10" t="str">
        <f aca="false">IF(B62="","",ROUND((D62*Rules!$B$16+Rules!$B$17+IF(E62="Uncommon",Rules!$B$19,IF(E62="Rare",Rules!$B$20,Rules!$B$18)))*IF(U62="Y",Rules!$B$21,1),2))</f>
        <v/>
      </c>
      <c r="Z62" s="10" t="str">
        <f aca="false">IF(B62="","",X62-Y62)</f>
        <v/>
      </c>
      <c r="AA62" s="10" t="str">
        <f aca="false">IF(B62="","",IF(E62="Starter",IF(Z62&lt;0,"Starter (under on purpose)","Starter too strong"),IF(ABS(Z62)&lt;=Rules!$B$24,"Balanced",IF(Z62&gt;0,"Over budget","Under budget"))))</f>
        <v/>
      </c>
    </row>
    <row r="63" customFormat="false" ht="15" hidden="false" customHeight="false" outlineLevel="0" collapsed="false">
      <c r="A63" s="13"/>
      <c r="B63" s="13"/>
      <c r="C63" s="13"/>
      <c r="D63" s="13"/>
      <c r="E63" s="13"/>
      <c r="F63" s="13"/>
      <c r="G63" s="13"/>
      <c r="H63" s="13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3"/>
      <c r="X63" s="10" t="str">
        <f aca="false">IF(B63="","",ROUND((I63*Rules!$B$27+J63*Rules!$B$27*Rules!$B$23+K63*Rules!$B$28+L63*Rules!$B$29+M63*Rules!$B$30+N63*Rules!$B$31+(O63*Rules!$B$32+P63*Rules!$B$33+Q63*Rules!$B$34)*IF(R63="Y",Rules!$B$23,1)+S63*Rules!$B$35-T63*Rules!$B$36+V63)*IF(C63="Power",Rules!$B$22,1),2))</f>
        <v/>
      </c>
      <c r="Y63" s="10" t="str">
        <f aca="false">IF(B63="","",ROUND((D63*Rules!$B$16+Rules!$B$17+IF(E63="Uncommon",Rules!$B$19,IF(E63="Rare",Rules!$B$20,Rules!$B$18)))*IF(U63="Y",Rules!$B$21,1),2))</f>
        <v/>
      </c>
      <c r="Z63" s="10" t="str">
        <f aca="false">IF(B63="","",X63-Y63)</f>
        <v/>
      </c>
      <c r="AA63" s="10" t="str">
        <f aca="false">IF(B63="","",IF(E63="Starter",IF(Z63&lt;0,"Starter (under on purpose)","Starter too strong"),IF(ABS(Z63)&lt;=Rules!$B$24,"Balanced",IF(Z63&gt;0,"Over budget","Under budget"))))</f>
        <v/>
      </c>
    </row>
    <row r="64" customFormat="false" ht="15" hidden="false" customHeight="false" outlineLevel="0" collapsed="false">
      <c r="A64" s="13"/>
      <c r="B64" s="13"/>
      <c r="C64" s="13"/>
      <c r="D64" s="13"/>
      <c r="E64" s="13"/>
      <c r="F64" s="13"/>
      <c r="G64" s="13"/>
      <c r="H64" s="13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3"/>
      <c r="X64" s="10" t="str">
        <f aca="false">IF(B64="","",ROUND((I64*Rules!$B$27+J64*Rules!$B$27*Rules!$B$23+K64*Rules!$B$28+L64*Rules!$B$29+M64*Rules!$B$30+N64*Rules!$B$31+(O64*Rules!$B$32+P64*Rules!$B$33+Q64*Rules!$B$34)*IF(R64="Y",Rules!$B$23,1)+S64*Rules!$B$35-T64*Rules!$B$36+V64)*IF(C64="Power",Rules!$B$22,1),2))</f>
        <v/>
      </c>
      <c r="Y64" s="10" t="str">
        <f aca="false">IF(B64="","",ROUND((D64*Rules!$B$16+Rules!$B$17+IF(E64="Uncommon",Rules!$B$19,IF(E64="Rare",Rules!$B$20,Rules!$B$18)))*IF(U64="Y",Rules!$B$21,1),2))</f>
        <v/>
      </c>
      <c r="Z64" s="10" t="str">
        <f aca="false">IF(B64="","",X64-Y64)</f>
        <v/>
      </c>
      <c r="AA64" s="10" t="str">
        <f aca="false">IF(B64="","",IF(E64="Starter",IF(Z64&lt;0,"Starter (under on purpose)","Starter too strong"),IF(ABS(Z64)&lt;=Rules!$B$24,"Balanced",IF(Z64&gt;0,"Over budget","Under budget"))))</f>
        <v/>
      </c>
    </row>
    <row r="65" customFormat="false" ht="15" hidden="false" customHeight="false" outlineLevel="0" collapsed="false">
      <c r="A65" s="13"/>
      <c r="B65" s="13"/>
      <c r="C65" s="13"/>
      <c r="D65" s="13"/>
      <c r="E65" s="13"/>
      <c r="F65" s="13"/>
      <c r="G65" s="13"/>
      <c r="H65" s="13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3"/>
      <c r="X65" s="10" t="str">
        <f aca="false">IF(B65="","",ROUND((I65*Rules!$B$27+J65*Rules!$B$27*Rules!$B$23+K65*Rules!$B$28+L65*Rules!$B$29+M65*Rules!$B$30+N65*Rules!$B$31+(O65*Rules!$B$32+P65*Rules!$B$33+Q65*Rules!$B$34)*IF(R65="Y",Rules!$B$23,1)+S65*Rules!$B$35-T65*Rules!$B$36+V65)*IF(C65="Power",Rules!$B$22,1),2))</f>
        <v/>
      </c>
      <c r="Y65" s="10" t="str">
        <f aca="false">IF(B65="","",ROUND((D65*Rules!$B$16+Rules!$B$17+IF(E65="Uncommon",Rules!$B$19,IF(E65="Rare",Rules!$B$20,Rules!$B$18)))*IF(U65="Y",Rules!$B$21,1),2))</f>
        <v/>
      </c>
      <c r="Z65" s="10" t="str">
        <f aca="false">IF(B65="","",X65-Y65)</f>
        <v/>
      </c>
      <c r="AA65" s="10" t="str">
        <f aca="false">IF(B65="","",IF(E65="Starter",IF(Z65&lt;0,"Starter (under on purpose)","Starter too strong"),IF(ABS(Z65)&lt;=Rules!$B$24,"Balanced",IF(Z65&gt;0,"Over budget","Under budget"))))</f>
        <v/>
      </c>
    </row>
    <row r="66" customFormat="false" ht="15" hidden="false" customHeight="false" outlineLevel="0" collapsed="false">
      <c r="A66" s="13"/>
      <c r="B66" s="13"/>
      <c r="C66" s="13"/>
      <c r="D66" s="13"/>
      <c r="E66" s="13"/>
      <c r="F66" s="13"/>
      <c r="G66" s="13"/>
      <c r="H66" s="13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3"/>
      <c r="X66" s="10" t="str">
        <f aca="false">IF(B66="","",ROUND((I66*Rules!$B$27+J66*Rules!$B$27*Rules!$B$23+K66*Rules!$B$28+L66*Rules!$B$29+M66*Rules!$B$30+N66*Rules!$B$31+(O66*Rules!$B$32+P66*Rules!$B$33+Q66*Rules!$B$34)*IF(R66="Y",Rules!$B$23,1)+S66*Rules!$B$35-T66*Rules!$B$36+V66)*IF(C66="Power",Rules!$B$22,1),2))</f>
        <v/>
      </c>
      <c r="Y66" s="10" t="str">
        <f aca="false">IF(B66="","",ROUND((D66*Rules!$B$16+Rules!$B$17+IF(E66="Uncommon",Rules!$B$19,IF(E66="Rare",Rules!$B$20,Rules!$B$18)))*IF(U66="Y",Rules!$B$21,1),2))</f>
        <v/>
      </c>
      <c r="Z66" s="10" t="str">
        <f aca="false">IF(B66="","",X66-Y66)</f>
        <v/>
      </c>
      <c r="AA66" s="10" t="str">
        <f aca="false">IF(B66="","",IF(E66="Starter",IF(Z66&lt;0,"Starter (under on purpose)","Starter too strong"),IF(ABS(Z66)&lt;=Rules!$B$24,"Balanced",IF(Z66&gt;0,"Over budget","Under budget"))))</f>
        <v/>
      </c>
    </row>
    <row r="67" customFormat="false" ht="15" hidden="false" customHeight="false" outlineLevel="0" collapsed="false">
      <c r="A67" s="13"/>
      <c r="B67" s="13"/>
      <c r="C67" s="13"/>
      <c r="D67" s="13"/>
      <c r="E67" s="13"/>
      <c r="F67" s="13"/>
      <c r="G67" s="13"/>
      <c r="H67" s="13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3"/>
      <c r="X67" s="10" t="str">
        <f aca="false">IF(B67="","",ROUND((I67*Rules!$B$27+J67*Rules!$B$27*Rules!$B$23+K67*Rules!$B$28+L67*Rules!$B$29+M67*Rules!$B$30+N67*Rules!$B$31+(O67*Rules!$B$32+P67*Rules!$B$33+Q67*Rules!$B$34)*IF(R67="Y",Rules!$B$23,1)+S67*Rules!$B$35-T67*Rules!$B$36+V67)*IF(C67="Power",Rules!$B$22,1),2))</f>
        <v/>
      </c>
      <c r="Y67" s="10" t="str">
        <f aca="false">IF(B67="","",ROUND((D67*Rules!$B$16+Rules!$B$17+IF(E67="Uncommon",Rules!$B$19,IF(E67="Rare",Rules!$B$20,Rules!$B$18)))*IF(U67="Y",Rules!$B$21,1),2))</f>
        <v/>
      </c>
      <c r="Z67" s="10" t="str">
        <f aca="false">IF(B67="","",X67-Y67)</f>
        <v/>
      </c>
      <c r="AA67" s="10" t="str">
        <f aca="false">IF(B67="","",IF(E67="Starter",IF(Z67&lt;0,"Starter (under on purpose)","Starter too strong"),IF(ABS(Z67)&lt;=Rules!$B$24,"Balanced",IF(Z67&gt;0,"Over budget","Under budget"))))</f>
        <v/>
      </c>
    </row>
    <row r="68" customFormat="false" ht="15" hidden="false" customHeight="false" outlineLevel="0" collapsed="false">
      <c r="A68" s="13"/>
      <c r="B68" s="13"/>
      <c r="C68" s="13"/>
      <c r="D68" s="13"/>
      <c r="E68" s="13"/>
      <c r="F68" s="13"/>
      <c r="G68" s="13"/>
      <c r="H68" s="13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3"/>
      <c r="X68" s="10" t="str">
        <f aca="false">IF(B68="","",ROUND((I68*Rules!$B$27+J68*Rules!$B$27*Rules!$B$23+K68*Rules!$B$28+L68*Rules!$B$29+M68*Rules!$B$30+N68*Rules!$B$31+(O68*Rules!$B$32+P68*Rules!$B$33+Q68*Rules!$B$34)*IF(R68="Y",Rules!$B$23,1)+S68*Rules!$B$35-T68*Rules!$B$36+V68)*IF(C68="Power",Rules!$B$22,1),2))</f>
        <v/>
      </c>
      <c r="Y68" s="10" t="str">
        <f aca="false">IF(B68="","",ROUND((D68*Rules!$B$16+Rules!$B$17+IF(E68="Uncommon",Rules!$B$19,IF(E68="Rare",Rules!$B$20,Rules!$B$18)))*IF(U68="Y",Rules!$B$21,1),2))</f>
        <v/>
      </c>
      <c r="Z68" s="10" t="str">
        <f aca="false">IF(B68="","",X68-Y68)</f>
        <v/>
      </c>
      <c r="AA68" s="10" t="str">
        <f aca="false">IF(B68="","",IF(E68="Starter",IF(Z68&lt;0,"Starter (under on purpose)","Starter too strong"),IF(ABS(Z68)&lt;=Rules!$B$24,"Balanced",IF(Z68&gt;0,"Over budget","Under budget"))))</f>
        <v/>
      </c>
    </row>
    <row r="69" customFormat="false" ht="15" hidden="false" customHeight="false" outlineLevel="0" collapsed="false">
      <c r="A69" s="13"/>
      <c r="B69" s="13"/>
      <c r="C69" s="13"/>
      <c r="D69" s="13"/>
      <c r="E69" s="13"/>
      <c r="F69" s="13"/>
      <c r="G69" s="13"/>
      <c r="H69" s="13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3"/>
      <c r="X69" s="10" t="str">
        <f aca="false">IF(B69="","",ROUND((I69*Rules!$B$27+J69*Rules!$B$27*Rules!$B$23+K69*Rules!$B$28+L69*Rules!$B$29+M69*Rules!$B$30+N69*Rules!$B$31+(O69*Rules!$B$32+P69*Rules!$B$33+Q69*Rules!$B$34)*IF(R69="Y",Rules!$B$23,1)+S69*Rules!$B$35-T69*Rules!$B$36+V69)*IF(C69="Power",Rules!$B$22,1),2))</f>
        <v/>
      </c>
      <c r="Y69" s="10" t="str">
        <f aca="false">IF(B69="","",ROUND((D69*Rules!$B$16+Rules!$B$17+IF(E69="Uncommon",Rules!$B$19,IF(E69="Rare",Rules!$B$20,Rules!$B$18)))*IF(U69="Y",Rules!$B$21,1),2))</f>
        <v/>
      </c>
      <c r="Z69" s="10" t="str">
        <f aca="false">IF(B69="","",X69-Y69)</f>
        <v/>
      </c>
      <c r="AA69" s="10" t="str">
        <f aca="false">IF(B69="","",IF(E69="Starter",IF(Z69&lt;0,"Starter (under on purpose)","Starter too strong"),IF(ABS(Z69)&lt;=Rules!$B$24,"Balanced",IF(Z69&gt;0,"Over budget","Under budget"))))</f>
        <v/>
      </c>
    </row>
    <row r="70" customFormat="false" ht="15" hidden="false" customHeight="false" outlineLevel="0" collapsed="false">
      <c r="A70" s="13"/>
      <c r="B70" s="13"/>
      <c r="C70" s="13"/>
      <c r="D70" s="13"/>
      <c r="E70" s="13"/>
      <c r="F70" s="13"/>
      <c r="G70" s="13"/>
      <c r="H70" s="13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3"/>
      <c r="X70" s="10" t="str">
        <f aca="false">IF(B70="","",ROUND((I70*Rules!$B$27+J70*Rules!$B$27*Rules!$B$23+K70*Rules!$B$28+L70*Rules!$B$29+M70*Rules!$B$30+N70*Rules!$B$31+(O70*Rules!$B$32+P70*Rules!$B$33+Q70*Rules!$B$34)*IF(R70="Y",Rules!$B$23,1)+S70*Rules!$B$35-T70*Rules!$B$36+V70)*IF(C70="Power",Rules!$B$22,1),2))</f>
        <v/>
      </c>
      <c r="Y70" s="10" t="str">
        <f aca="false">IF(B70="","",ROUND((D70*Rules!$B$16+Rules!$B$17+IF(E70="Uncommon",Rules!$B$19,IF(E70="Rare",Rules!$B$20,Rules!$B$18)))*IF(U70="Y",Rules!$B$21,1),2))</f>
        <v/>
      </c>
      <c r="Z70" s="10" t="str">
        <f aca="false">IF(B70="","",X70-Y70)</f>
        <v/>
      </c>
      <c r="AA70" s="10" t="str">
        <f aca="false">IF(B70="","",IF(E70="Starter",IF(Z70&lt;0,"Starter (under on purpose)","Starter too strong"),IF(ABS(Z70)&lt;=Rules!$B$24,"Balanced",IF(Z70&gt;0,"Over budget","Under budget"))))</f>
        <v/>
      </c>
    </row>
    <row r="71" customFormat="false" ht="15" hidden="false" customHeight="false" outlineLevel="0" collapsed="false">
      <c r="A71" s="13"/>
      <c r="B71" s="13"/>
      <c r="C71" s="13"/>
      <c r="D71" s="13"/>
      <c r="E71" s="13"/>
      <c r="F71" s="13"/>
      <c r="G71" s="13"/>
      <c r="H71" s="13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3"/>
      <c r="X71" s="10" t="str">
        <f aca="false">IF(B71="","",ROUND((I71*Rules!$B$27+J71*Rules!$B$27*Rules!$B$23+K71*Rules!$B$28+L71*Rules!$B$29+M71*Rules!$B$30+N71*Rules!$B$31+(O71*Rules!$B$32+P71*Rules!$B$33+Q71*Rules!$B$34)*IF(R71="Y",Rules!$B$23,1)+S71*Rules!$B$35-T71*Rules!$B$36+V71)*IF(C71="Power",Rules!$B$22,1),2))</f>
        <v/>
      </c>
      <c r="Y71" s="10" t="str">
        <f aca="false">IF(B71="","",ROUND((D71*Rules!$B$16+Rules!$B$17+IF(E71="Uncommon",Rules!$B$19,IF(E71="Rare",Rules!$B$20,Rules!$B$18)))*IF(U71="Y",Rules!$B$21,1),2))</f>
        <v/>
      </c>
      <c r="Z71" s="10" t="str">
        <f aca="false">IF(B71="","",X71-Y71)</f>
        <v/>
      </c>
      <c r="AA71" s="10" t="str">
        <f aca="false">IF(B71="","",IF(E71="Starter",IF(Z71&lt;0,"Starter (under on purpose)","Starter too strong"),IF(ABS(Z71)&lt;=Rules!$B$24,"Balanced",IF(Z71&gt;0,"Over budget","Under budget"))))</f>
        <v/>
      </c>
    </row>
    <row r="72" customFormat="false" ht="15" hidden="false" customHeight="false" outlineLevel="0" collapsed="false">
      <c r="A72" s="13"/>
      <c r="B72" s="13"/>
      <c r="C72" s="13"/>
      <c r="D72" s="13"/>
      <c r="E72" s="13"/>
      <c r="F72" s="13"/>
      <c r="G72" s="13"/>
      <c r="H72" s="13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3"/>
      <c r="X72" s="10" t="str">
        <f aca="false">IF(B72="","",ROUND((I72*Rules!$B$27+J72*Rules!$B$27*Rules!$B$23+K72*Rules!$B$28+L72*Rules!$B$29+M72*Rules!$B$30+N72*Rules!$B$31+(O72*Rules!$B$32+P72*Rules!$B$33+Q72*Rules!$B$34)*IF(R72="Y",Rules!$B$23,1)+S72*Rules!$B$35-T72*Rules!$B$36+V72)*IF(C72="Power",Rules!$B$22,1),2))</f>
        <v/>
      </c>
      <c r="Y72" s="10" t="str">
        <f aca="false">IF(B72="","",ROUND((D72*Rules!$B$16+Rules!$B$17+IF(E72="Uncommon",Rules!$B$19,IF(E72="Rare",Rules!$B$20,Rules!$B$18)))*IF(U72="Y",Rules!$B$21,1),2))</f>
        <v/>
      </c>
      <c r="Z72" s="10" t="str">
        <f aca="false">IF(B72="","",X72-Y72)</f>
        <v/>
      </c>
      <c r="AA72" s="10" t="str">
        <f aca="false">IF(B72="","",IF(E72="Starter",IF(Z72&lt;0,"Starter (under on purpose)","Starter too strong"),IF(ABS(Z72)&lt;=Rules!$B$24,"Balanced",IF(Z72&gt;0,"Over budget","Under budget"))))</f>
        <v/>
      </c>
    </row>
    <row r="73" customFormat="false" ht="15" hidden="false" customHeight="false" outlineLevel="0" collapsed="false">
      <c r="A73" s="13"/>
      <c r="B73" s="13"/>
      <c r="C73" s="13"/>
      <c r="D73" s="13"/>
      <c r="E73" s="13"/>
      <c r="F73" s="13"/>
      <c r="G73" s="13"/>
      <c r="H73" s="13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3"/>
      <c r="X73" s="10" t="str">
        <f aca="false">IF(B73="","",ROUND((I73*Rules!$B$27+J73*Rules!$B$27*Rules!$B$23+K73*Rules!$B$28+L73*Rules!$B$29+M73*Rules!$B$30+N73*Rules!$B$31+(O73*Rules!$B$32+P73*Rules!$B$33+Q73*Rules!$B$34)*IF(R73="Y",Rules!$B$23,1)+S73*Rules!$B$35-T73*Rules!$B$36+V73)*IF(C73="Power",Rules!$B$22,1),2))</f>
        <v/>
      </c>
      <c r="Y73" s="10" t="str">
        <f aca="false">IF(B73="","",ROUND((D73*Rules!$B$16+Rules!$B$17+IF(E73="Uncommon",Rules!$B$19,IF(E73="Rare",Rules!$B$20,Rules!$B$18)))*IF(U73="Y",Rules!$B$21,1),2))</f>
        <v/>
      </c>
      <c r="Z73" s="10" t="str">
        <f aca="false">IF(B73="","",X73-Y73)</f>
        <v/>
      </c>
      <c r="AA73" s="10" t="str">
        <f aca="false">IF(B73="","",IF(E73="Starter",IF(Z73&lt;0,"Starter (under on purpose)","Starter too strong"),IF(ABS(Z73)&lt;=Rules!$B$24,"Balanced",IF(Z73&gt;0,"Over budget","Under budget"))))</f>
        <v/>
      </c>
    </row>
    <row r="74" customFormat="false" ht="15" hidden="false" customHeight="false" outlineLevel="0" collapsed="false">
      <c r="A74" s="13"/>
      <c r="B74" s="13"/>
      <c r="C74" s="13"/>
      <c r="D74" s="13"/>
      <c r="E74" s="13"/>
      <c r="F74" s="13"/>
      <c r="G74" s="13"/>
      <c r="H74" s="13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3"/>
      <c r="X74" s="10" t="str">
        <f aca="false">IF(B74="","",ROUND((I74*Rules!$B$27+J74*Rules!$B$27*Rules!$B$23+K74*Rules!$B$28+L74*Rules!$B$29+M74*Rules!$B$30+N74*Rules!$B$31+(O74*Rules!$B$32+P74*Rules!$B$33+Q74*Rules!$B$34)*IF(R74="Y",Rules!$B$23,1)+S74*Rules!$B$35-T74*Rules!$B$36+V74)*IF(C74="Power",Rules!$B$22,1),2))</f>
        <v/>
      </c>
      <c r="Y74" s="10" t="str">
        <f aca="false">IF(B74="","",ROUND((D74*Rules!$B$16+Rules!$B$17+IF(E74="Uncommon",Rules!$B$19,IF(E74="Rare",Rules!$B$20,Rules!$B$18)))*IF(U74="Y",Rules!$B$21,1),2))</f>
        <v/>
      </c>
      <c r="Z74" s="10" t="str">
        <f aca="false">IF(B74="","",X74-Y74)</f>
        <v/>
      </c>
      <c r="AA74" s="10" t="str">
        <f aca="false">IF(B74="","",IF(E74="Starter",IF(Z74&lt;0,"Starter (under on purpose)","Starter too strong"),IF(ABS(Z74)&lt;=Rules!$B$24,"Balanced",IF(Z74&gt;0,"Over budget","Under budget"))))</f>
        <v/>
      </c>
    </row>
  </sheetData>
  <autoFilter ref="A1:AA44"/>
  <conditionalFormatting sqref="AA2:AA300">
    <cfRule type="expression" priority="2" aboveAverage="0" equalAverage="0" bottom="0" percent="0" rank="0" text="" dxfId="5">
      <formula>AA2="Balanced"</formula>
    </cfRule>
    <cfRule type="expression" priority="3" aboveAverage="0" equalAverage="0" bottom="0" percent="0" rank="0" text="" dxfId="6">
      <formula>OR(AA2="Over budget",AA2="Starter too strong")</formula>
    </cfRule>
    <cfRule type="expression" priority="4" aboveAverage="0" equalAverage="0" bottom="0" percent="0" rank="0" text="" dxfId="7">
      <formula>AA2="Under budget"</formula>
    </cfRule>
  </conditionalFormatting>
  <dataValidations count="4">
    <dataValidation allowBlank="true" errorStyle="stop" operator="between" showDropDown="false" showErrorMessage="false" showInputMessage="false" sqref="C2:C300" type="list">
      <formula1>"Attack,Skill,Power"</formula1>
      <formula2>0</formula2>
    </dataValidation>
    <dataValidation allowBlank="true" errorStyle="stop" operator="between" showDropDown="false" showErrorMessage="false" showInputMessage="false" sqref="E2:E300" type="list">
      <formula1>"Starter,Common,Uncommon,Rare"</formula1>
      <formula2>0</formula2>
    </dataValidation>
    <dataValidation allowBlank="true" errorStyle="stop" operator="between" showDropDown="false" showErrorMessage="false" showInputMessage="false" sqref="F2:F300" type="list">
      <formula1>"Neutral,Brawler,Guardian,Venom,Tactician"</formula1>
      <formula2>0</formula2>
    </dataValidation>
    <dataValidation allowBlank="true" errorStyle="stop" operator="between" showDropDown="false" showErrorMessage="false" showInputMessage="false" sqref="R2:R300 U2:U300" type="list">
      <formula1>"Y"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2"/>
  </cols>
  <sheetData>
    <row r="1" customFormat="false" ht="17.35" hidden="false" customHeight="false" outlineLevel="0" collapsed="false">
      <c r="A1" s="3" t="s">
        <v>285</v>
      </c>
      <c r="B1" s="14"/>
      <c r="C1" s="14"/>
      <c r="D1" s="14"/>
      <c r="E1" s="14"/>
      <c r="F1" s="14"/>
    </row>
    <row r="2" customFormat="false" ht="15" hidden="false" customHeight="false" outlineLevel="0" collapsed="false">
      <c r="A2" s="14"/>
      <c r="B2" s="14"/>
      <c r="C2" s="14"/>
      <c r="D2" s="14"/>
      <c r="E2" s="14"/>
      <c r="F2" s="14"/>
    </row>
    <row r="3" customFormat="false" ht="15" hidden="false" customHeight="false" outlineLevel="0" collapsed="false">
      <c r="A3" s="15" t="s">
        <v>64</v>
      </c>
      <c r="B3" s="15" t="s">
        <v>84</v>
      </c>
      <c r="C3" s="15" t="s">
        <v>102</v>
      </c>
      <c r="D3" s="15" t="s">
        <v>191</v>
      </c>
      <c r="E3" s="15" t="s">
        <v>257</v>
      </c>
      <c r="F3" s="15" t="s">
        <v>286</v>
      </c>
    </row>
    <row r="4" customFormat="false" ht="15" hidden="false" customHeight="false" outlineLevel="0" collapsed="false">
      <c r="A4" s="14" t="s">
        <v>85</v>
      </c>
      <c r="B4" s="14" t="n">
        <f aca="false">COUNTIFS(Cards!$F$2:$F$300,$A4,Cards!$E$2:$E$300,B$3)</f>
        <v>3</v>
      </c>
      <c r="C4" s="14" t="n">
        <f aca="false">COUNTIFS(Cards!$F$2:$F$300,$A4,Cards!$E$2:$E$300,C$3)</f>
        <v>3</v>
      </c>
      <c r="D4" s="14" t="n">
        <f aca="false">COUNTIFS(Cards!$F$2:$F$300,$A4,Cards!$E$2:$E$300,D$3)</f>
        <v>0</v>
      </c>
      <c r="E4" s="14" t="n">
        <f aca="false">COUNTIFS(Cards!$F$2:$F$300,$A4,Cards!$E$2:$E$300,E$3)</f>
        <v>1</v>
      </c>
      <c r="F4" s="14" t="n">
        <f aca="false">SUM(B4:E4)</f>
        <v>7</v>
      </c>
    </row>
    <row r="5" customFormat="false" ht="15" hidden="false" customHeight="false" outlineLevel="0" collapsed="false">
      <c r="A5" s="14" t="s">
        <v>106</v>
      </c>
      <c r="B5" s="14" t="n">
        <f aca="false">COUNTIFS(Cards!$F$2:$F$300,$A5,Cards!$E$2:$E$300,B$3)</f>
        <v>0</v>
      </c>
      <c r="C5" s="14" t="n">
        <f aca="false">COUNTIFS(Cards!$F$2:$F$300,$A5,Cards!$E$2:$E$300,C$3)</f>
        <v>4</v>
      </c>
      <c r="D5" s="14" t="n">
        <f aca="false">COUNTIFS(Cards!$F$2:$F$300,$A5,Cards!$E$2:$E$300,D$3)</f>
        <v>4</v>
      </c>
      <c r="E5" s="14" t="n">
        <f aca="false">COUNTIFS(Cards!$F$2:$F$300,$A5,Cards!$E$2:$E$300,E$3)</f>
        <v>2</v>
      </c>
      <c r="F5" s="14" t="n">
        <f aca="false">SUM(B5:E5)</f>
        <v>10</v>
      </c>
    </row>
    <row r="6" customFormat="false" ht="15" hidden="false" customHeight="false" outlineLevel="0" collapsed="false">
      <c r="A6" s="14" t="s">
        <v>130</v>
      </c>
      <c r="B6" s="14" t="n">
        <f aca="false">COUNTIFS(Cards!$F$2:$F$300,$A6,Cards!$E$2:$E$300,B$3)</f>
        <v>0</v>
      </c>
      <c r="C6" s="14" t="n">
        <f aca="false">COUNTIFS(Cards!$F$2:$F$300,$A6,Cards!$E$2:$E$300,C$3)</f>
        <v>5</v>
      </c>
      <c r="D6" s="14" t="n">
        <f aca="false">COUNTIFS(Cards!$F$2:$F$300,$A6,Cards!$E$2:$E$300,D$3)</f>
        <v>4</v>
      </c>
      <c r="E6" s="14" t="n">
        <f aca="false">COUNTIFS(Cards!$F$2:$F$300,$A6,Cards!$E$2:$E$300,E$3)</f>
        <v>1</v>
      </c>
      <c r="F6" s="14" t="n">
        <f aca="false">SUM(B6:E6)</f>
        <v>10</v>
      </c>
    </row>
    <row r="7" customFormat="false" ht="15" hidden="false" customHeight="false" outlineLevel="0" collapsed="false">
      <c r="A7" s="14" t="s">
        <v>125</v>
      </c>
      <c r="B7" s="14" t="n">
        <f aca="false">COUNTIFS(Cards!$F$2:$F$300,$A7,Cards!$E$2:$E$300,B$3)</f>
        <v>0</v>
      </c>
      <c r="C7" s="14" t="n">
        <f aca="false">COUNTIFS(Cards!$F$2:$F$300,$A7,Cards!$E$2:$E$300,C$3)</f>
        <v>3</v>
      </c>
      <c r="D7" s="14" t="n">
        <f aca="false">COUNTIFS(Cards!$F$2:$F$300,$A7,Cards!$E$2:$E$300,D$3)</f>
        <v>3</v>
      </c>
      <c r="E7" s="14" t="n">
        <f aca="false">COUNTIFS(Cards!$F$2:$F$300,$A7,Cards!$E$2:$E$300,E$3)</f>
        <v>1</v>
      </c>
      <c r="F7" s="14" t="n">
        <f aca="false">SUM(B7:E7)</f>
        <v>7</v>
      </c>
    </row>
    <row r="8" customFormat="false" ht="15" hidden="false" customHeight="false" outlineLevel="0" collapsed="false">
      <c r="A8" s="14" t="s">
        <v>139</v>
      </c>
      <c r="B8" s="14" t="n">
        <f aca="false">COUNTIFS(Cards!$F$2:$F$300,$A8,Cards!$E$2:$E$300,B$3)</f>
        <v>0</v>
      </c>
      <c r="C8" s="14" t="n">
        <f aca="false">COUNTIFS(Cards!$F$2:$F$300,$A8,Cards!$E$2:$E$300,C$3)</f>
        <v>5</v>
      </c>
      <c r="D8" s="14" t="n">
        <f aca="false">COUNTIFS(Cards!$F$2:$F$300,$A8,Cards!$E$2:$E$300,D$3)</f>
        <v>3</v>
      </c>
      <c r="E8" s="14" t="n">
        <f aca="false">COUNTIFS(Cards!$F$2:$F$300,$A8,Cards!$E$2:$E$300,E$3)</f>
        <v>1</v>
      </c>
      <c r="F8" s="14" t="n">
        <f aca="false">SUM(B8:E8)</f>
        <v>9</v>
      </c>
    </row>
    <row r="9" customFormat="false" ht="15" hidden="false" customHeight="false" outlineLevel="0" collapsed="false">
      <c r="A9" s="15" t="s">
        <v>286</v>
      </c>
      <c r="B9" s="15" t="n">
        <f aca="false">SUM(B4:B8)</f>
        <v>3</v>
      </c>
      <c r="C9" s="15" t="n">
        <f aca="false">SUM(C4:C8)</f>
        <v>20</v>
      </c>
      <c r="D9" s="15" t="n">
        <f aca="false">SUM(D4:D8)</f>
        <v>14</v>
      </c>
      <c r="E9" s="15" t="n">
        <f aca="false">SUM(E4:E8)</f>
        <v>6</v>
      </c>
      <c r="F9" s="15" t="n">
        <f aca="false">SUM(F4:F8)</f>
        <v>43</v>
      </c>
    </row>
    <row r="10" customFormat="false" ht="15" hidden="false" customHeight="false" outlineLevel="0" collapsed="false">
      <c r="A10" s="14"/>
      <c r="B10" s="14"/>
      <c r="C10" s="14"/>
      <c r="D10" s="14"/>
      <c r="E10" s="14"/>
      <c r="F10" s="14"/>
    </row>
    <row r="11" customFormat="false" ht="15" hidden="false" customHeight="false" outlineLevel="0" collapsed="false">
      <c r="A11" s="15" t="s">
        <v>287</v>
      </c>
      <c r="B11" s="14"/>
      <c r="C11" s="14"/>
      <c r="D11" s="14"/>
      <c r="E11" s="14"/>
      <c r="F11" s="14"/>
    </row>
    <row r="12" customFormat="false" ht="15" hidden="false" customHeight="false" outlineLevel="0" collapsed="false">
      <c r="A12" s="14" t="s">
        <v>288</v>
      </c>
      <c r="B12" s="14" t="n">
        <f aca="false">COUNTIF(Cards!$AA$2:$AA$300,A12)</f>
        <v>40</v>
      </c>
      <c r="C12" s="14"/>
      <c r="D12" s="14"/>
      <c r="E12" s="14"/>
      <c r="F12" s="14"/>
    </row>
    <row r="13" customFormat="false" ht="15" hidden="false" customHeight="false" outlineLevel="0" collapsed="false">
      <c r="A13" s="14" t="s">
        <v>289</v>
      </c>
      <c r="B13" s="14" t="n">
        <f aca="false">COUNTIF(Cards!$AA$2:$AA$300,A13)</f>
        <v>0</v>
      </c>
      <c r="C13" s="14"/>
      <c r="D13" s="14"/>
      <c r="E13" s="14"/>
      <c r="F13" s="14"/>
    </row>
    <row r="14" customFormat="false" ht="15" hidden="false" customHeight="false" outlineLevel="0" collapsed="false">
      <c r="A14" s="14" t="s">
        <v>290</v>
      </c>
      <c r="B14" s="14" t="n">
        <f aca="false">COUNTIF(Cards!$AA$2:$AA$300,A14)</f>
        <v>0</v>
      </c>
      <c r="C14" s="14"/>
      <c r="D14" s="14"/>
      <c r="E14" s="14"/>
      <c r="F14" s="14"/>
    </row>
    <row r="15" customFormat="false" ht="15" hidden="false" customHeight="false" outlineLevel="0" collapsed="false">
      <c r="A15" s="14" t="s">
        <v>291</v>
      </c>
      <c r="B15" s="14" t="n">
        <f aca="false">COUNTIF(Cards!$AA$2:$AA$300,A15)</f>
        <v>3</v>
      </c>
      <c r="C15" s="14"/>
      <c r="D15" s="14"/>
      <c r="E15" s="14"/>
      <c r="F15" s="14"/>
    </row>
    <row r="16" customFormat="false" ht="15" hidden="false" customHeight="false" outlineLevel="0" collapsed="false">
      <c r="A16" s="14"/>
      <c r="B16" s="14"/>
      <c r="C16" s="14"/>
      <c r="D16" s="14"/>
      <c r="E16" s="14"/>
      <c r="F16" s="14"/>
    </row>
    <row r="17" customFormat="false" ht="15" hidden="false" customHeight="false" outlineLevel="0" collapsed="false">
      <c r="A17" s="15" t="s">
        <v>61</v>
      </c>
      <c r="B17" s="14"/>
      <c r="C17" s="14"/>
      <c r="D17" s="14"/>
      <c r="E17" s="14"/>
      <c r="F17" s="14"/>
    </row>
    <row r="18" customFormat="false" ht="15" hidden="false" customHeight="false" outlineLevel="0" collapsed="false">
      <c r="A18" s="14" t="s">
        <v>83</v>
      </c>
      <c r="B18" s="14" t="n">
        <f aca="false">COUNTIFS(Cards!$C$2:$C$300,A18,Cards!$E$2:$E$300,"&lt;&gt;Starter")</f>
        <v>15</v>
      </c>
      <c r="C18" s="14"/>
      <c r="D18" s="14"/>
      <c r="E18" s="14"/>
      <c r="F18" s="14"/>
    </row>
    <row r="19" customFormat="false" ht="15" hidden="false" customHeight="false" outlineLevel="0" collapsed="false">
      <c r="A19" s="14" t="s">
        <v>91</v>
      </c>
      <c r="B19" s="14" t="n">
        <f aca="false">COUNTIFS(Cards!$C$2:$C$300,A19,Cards!$E$2:$E$300,"&lt;&gt;Starter")</f>
        <v>20</v>
      </c>
      <c r="C19" s="14"/>
      <c r="D19" s="14"/>
      <c r="E19" s="14"/>
      <c r="F19" s="14"/>
    </row>
    <row r="20" customFormat="false" ht="15" hidden="false" customHeight="false" outlineLevel="0" collapsed="false">
      <c r="A20" s="14" t="s">
        <v>212</v>
      </c>
      <c r="B20" s="14" t="n">
        <f aca="false">COUNTIFS(Cards!$C$2:$C$300,A20,Cards!$E$2:$E$300,"&lt;&gt;Starter")</f>
        <v>5</v>
      </c>
      <c r="C20" s="14"/>
      <c r="D20" s="14"/>
      <c r="E20" s="14"/>
      <c r="F20" s="14"/>
    </row>
    <row r="21" customFormat="false" ht="15" hidden="false" customHeight="false" outlineLevel="0" collapsed="false">
      <c r="A21" s="14"/>
      <c r="B21" s="14"/>
      <c r="C21" s="14"/>
      <c r="D21" s="14"/>
      <c r="E21" s="14"/>
      <c r="F21" s="14"/>
    </row>
    <row r="22" customFormat="false" ht="15" hidden="false" customHeight="false" outlineLevel="0" collapsed="false">
      <c r="A22" s="15" t="s">
        <v>292</v>
      </c>
      <c r="B22" s="14"/>
      <c r="C22" s="14"/>
      <c r="D22" s="14"/>
      <c r="E22" s="14"/>
      <c r="F22" s="14"/>
    </row>
    <row r="23" customFormat="false" ht="15" hidden="false" customHeight="false" outlineLevel="0" collapsed="false">
      <c r="A23" s="14" t="s">
        <v>82</v>
      </c>
      <c r="B23" s="16" t="n">
        <v>5</v>
      </c>
      <c r="C23" s="14"/>
      <c r="D23" s="14"/>
      <c r="E23" s="14"/>
      <c r="F23" s="14"/>
    </row>
    <row r="24" customFormat="false" ht="15" hidden="false" customHeight="false" outlineLevel="0" collapsed="false">
      <c r="A24" s="14" t="s">
        <v>90</v>
      </c>
      <c r="B24" s="16" t="n">
        <v>4</v>
      </c>
      <c r="C24" s="14"/>
      <c r="D24" s="14"/>
      <c r="E24" s="14"/>
      <c r="F24" s="14"/>
    </row>
    <row r="25" customFormat="false" ht="15" hidden="false" customHeight="false" outlineLevel="0" collapsed="false">
      <c r="A25" s="14" t="s">
        <v>96</v>
      </c>
      <c r="B25" s="16" t="n">
        <v>1</v>
      </c>
      <c r="C25" s="14"/>
      <c r="D25" s="14"/>
      <c r="E25" s="14"/>
      <c r="F25" s="14"/>
    </row>
    <row r="26" customFormat="false" ht="15" hidden="false" customHeight="false" outlineLevel="0" collapsed="false">
      <c r="A26" s="14" t="s">
        <v>286</v>
      </c>
      <c r="B26" s="14" t="n">
        <f aca="false">SUM(B23:B25)</f>
        <v>10</v>
      </c>
      <c r="C26" s="14"/>
      <c r="D26" s="14"/>
      <c r="E26" s="14"/>
      <c r="F26" s="14"/>
    </row>
    <row r="27" customFormat="false" ht="15" hidden="false" customHeight="false" outlineLevel="0" collapsed="false">
      <c r="A27" s="14"/>
      <c r="B27" s="14"/>
      <c r="C27" s="14"/>
      <c r="D27" s="14"/>
      <c r="E27" s="14"/>
      <c r="F27" s="14"/>
    </row>
    <row r="28" customFormat="false" ht="15" hidden="false" customHeight="false" outlineLevel="0" collapsed="false">
      <c r="A28" s="15" t="s">
        <v>293</v>
      </c>
      <c r="B28" s="14"/>
      <c r="C28" s="14"/>
      <c r="D28" s="14"/>
      <c r="E28" s="14"/>
      <c r="F28" s="14"/>
    </row>
    <row r="29" customFormat="false" ht="15" hidden="false" customHeight="false" outlineLevel="0" collapsed="false">
      <c r="A29" s="14" t="s">
        <v>102</v>
      </c>
      <c r="B29" s="17" t="n">
        <v>0.6</v>
      </c>
      <c r="C29" s="14"/>
      <c r="D29" s="14"/>
      <c r="E29" s="14"/>
      <c r="F29" s="14"/>
    </row>
    <row r="30" customFormat="false" ht="15" hidden="false" customHeight="false" outlineLevel="0" collapsed="false">
      <c r="A30" s="14" t="s">
        <v>191</v>
      </c>
      <c r="B30" s="17" t="n">
        <v>0.33</v>
      </c>
      <c r="C30" s="14"/>
      <c r="D30" s="14"/>
      <c r="E30" s="14"/>
      <c r="F30" s="14"/>
    </row>
    <row r="31" customFormat="false" ht="15" hidden="false" customHeight="false" outlineLevel="0" collapsed="false">
      <c r="A31" s="14" t="s">
        <v>257</v>
      </c>
      <c r="B31" s="17" t="n">
        <v>0.07</v>
      </c>
      <c r="C31" s="14"/>
      <c r="D31" s="14"/>
      <c r="E31" s="14"/>
      <c r="F31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0"/>
    <col collapsed="false" customWidth="true" hidden="false" outlineLevel="0" max="3" min="3" style="0" width="18"/>
  </cols>
  <sheetData>
    <row r="1" customFormat="false" ht="17.35" hidden="false" customHeight="false" outlineLevel="0" collapsed="false">
      <c r="A1" s="3" t="s">
        <v>294</v>
      </c>
    </row>
    <row r="3" customFormat="false" ht="15" hidden="false" customHeight="false" outlineLevel="0" collapsed="false">
      <c r="A3" s="18" t="s">
        <v>295</v>
      </c>
      <c r="B3" s="18" t="s">
        <v>296</v>
      </c>
      <c r="C3" s="18" t="s">
        <v>297</v>
      </c>
    </row>
    <row r="4" customFormat="false" ht="15" hidden="false" customHeight="false" outlineLevel="0" collapsed="false">
      <c r="A4" s="11" t="s">
        <v>44</v>
      </c>
      <c r="B4" s="11" t="s">
        <v>298</v>
      </c>
      <c r="C4" s="11" t="s">
        <v>299</v>
      </c>
    </row>
    <row r="5" customFormat="false" ht="15" hidden="false" customHeight="false" outlineLevel="0" collapsed="false">
      <c r="A5" s="11" t="s">
        <v>46</v>
      </c>
      <c r="B5" s="11" t="s">
        <v>300</v>
      </c>
      <c r="C5" s="11" t="s">
        <v>299</v>
      </c>
    </row>
    <row r="6" customFormat="false" ht="26.85" hidden="false" customHeight="false" outlineLevel="0" collapsed="false">
      <c r="A6" s="11" t="s">
        <v>70</v>
      </c>
      <c r="B6" s="11" t="s">
        <v>301</v>
      </c>
      <c r="C6" s="11" t="s">
        <v>299</v>
      </c>
    </row>
    <row r="7" customFormat="false" ht="15" hidden="false" customHeight="false" outlineLevel="0" collapsed="false">
      <c r="A7" s="11" t="s">
        <v>68</v>
      </c>
      <c r="B7" s="11" t="s">
        <v>302</v>
      </c>
      <c r="C7" s="11" t="s">
        <v>299</v>
      </c>
    </row>
    <row r="8" customFormat="false" ht="15" hidden="false" customHeight="false" outlineLevel="0" collapsed="false">
      <c r="A8" s="11" t="s">
        <v>303</v>
      </c>
      <c r="B8" s="11" t="s">
        <v>304</v>
      </c>
      <c r="C8" s="11" t="s">
        <v>299</v>
      </c>
    </row>
    <row r="9" customFormat="false" ht="15" hidden="false" customHeight="false" outlineLevel="0" collapsed="false">
      <c r="A9" s="11" t="s">
        <v>72</v>
      </c>
      <c r="B9" s="11" t="s">
        <v>305</v>
      </c>
      <c r="C9" s="11" t="s">
        <v>299</v>
      </c>
    </row>
    <row r="10" customFormat="false" ht="26.85" hidden="false" customHeight="false" outlineLevel="0" collapsed="false">
      <c r="A10" s="11" t="s">
        <v>306</v>
      </c>
      <c r="B10" s="11" t="s">
        <v>307</v>
      </c>
      <c r="C10" s="11" t="s">
        <v>308</v>
      </c>
    </row>
    <row r="11" customFormat="false" ht="15" hidden="false" customHeight="false" outlineLevel="0" collapsed="false">
      <c r="A11" s="11" t="s">
        <v>212</v>
      </c>
      <c r="B11" s="11" t="s">
        <v>309</v>
      </c>
      <c r="C11" s="11" t="s">
        <v>308</v>
      </c>
    </row>
    <row r="12" customFormat="false" ht="15" hidden="false" customHeight="false" outlineLevel="0" collapsed="false">
      <c r="A12" s="11" t="s">
        <v>310</v>
      </c>
      <c r="B12" s="11" t="s">
        <v>311</v>
      </c>
      <c r="C12" s="11" t="s">
        <v>299</v>
      </c>
    </row>
    <row r="13" customFormat="false" ht="15" hidden="false" customHeight="false" outlineLevel="0" collapsed="false">
      <c r="A13" s="11" t="s">
        <v>312</v>
      </c>
      <c r="B13" s="11" t="s">
        <v>313</v>
      </c>
      <c r="C13" s="11" t="s">
        <v>314</v>
      </c>
    </row>
    <row r="14" customFormat="false" ht="15" hidden="false" customHeight="false" outlineLevel="0" collapsed="false">
      <c r="A14" s="11" t="s">
        <v>315</v>
      </c>
      <c r="B14" s="11" t="s">
        <v>316</v>
      </c>
      <c r="C14" s="11" t="s">
        <v>317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2026-10-13T16:25:29Z</dcterms:created>
  <dc:creator>openpyxl</dc:creator>
  <dc:description/>
  <dc:language>en-US</dc:language>
  <cp:lastModifiedBy/>
  <dcterms:modified xsi:type="dcterms:W3CDTF">2026-10-13T16:25:29Z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