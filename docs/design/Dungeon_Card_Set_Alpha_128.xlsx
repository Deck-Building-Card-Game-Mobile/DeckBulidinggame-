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Rules" sheetId="2" state="visible" r:id="rId4"/>
    <sheet name="Cards" sheetId="3" state="visible" r:id="rId5"/>
    <sheet name="Summary" sheetId="4" state="visible" r:id="rId6"/>
    <sheet name="Keywords" sheetId="5" state="visible" r:id="rId7"/>
    <sheet name="New Mechanics" sheetId="6" state="visible" r:id="rId8"/>
  </sheets>
  <definedNames>
    <definedName function="false" hidden="true" localSheetId="2" name="_xlnm._FilterDatabase" vbProcedure="false">Cards!$A$1:$AB$129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<sst xmlns="http://schemas.openxmlformats.org/spreadsheetml/2006/main" count="1250" uniqueCount="756">
  <si>
    <t xml:space="preserve">How to use this workbook (Alpha set: 128 cards)</t>
  </si>
  <si>
    <t xml:space="preserve">Cards tab: one row per card. Fill in the blue effect columns (I–W); Value, Budget, Difference and Status calculate automatically.</t>
  </si>
  <si>
    <t xml:space="preserve">• Budget = (Cost × points per energy + base value + rarity bonus), × exhaust multiplier if the card exhausts.</t>
  </si>
  <si>
    <t xml:space="preserve">• Value = sum of each effect × its price (Rules tab), + Retain value if the card Retains. Power cards list their per-turn effect and are multiplied by the power multiplier.</t>
  </si>
  <si>
    <t xml:space="preserve">• 'Other value' is for unique effects the price list can't capture. Cards marked PLAYTEST in Notes rely on it, so balance those by playing.</t>
  </si>
  <si>
    <t xml:space="preserve">• Status: Balanced (within tolerance), Over budget, Under budget. Starter cards stay under budget so every reward feels like an upgrade.</t>
  </si>
  <si>
    <t xml:space="preserve">• Legendary rows are shaded. Legendaries are Unique (one copy per deck).</t>
  </si>
  <si>
    <t xml:space="preserve">• To add a card: type it into the first empty row below the set. Formulas are already there.</t>
  </si>
  <si>
    <t xml:space="preserve">Rules tab: combat numbers, budget formula and effect prices. Summary: counts by archetype and rarity, balance status, reward odds.</t>
  </si>
  <si>
    <t xml:space="preserve">Keywords: rules text for every keyword. New Mechanics: what needs new code before these cards work in the game.</t>
  </si>
  <si>
    <t xml:space="preserve">Cards C01–C20, U01–U14, R01–R06 and the starters are unchanged from v1 (already in the game). Everything else is new in the alpha set.</t>
  </si>
  <si>
    <t xml:space="preserve">Example row: C01 Slash — Attack, cost 1, Common, Damage 9 → Value 9, Budget 9, Balanced.</t>
  </si>
  <si>
    <t xml:space="preserve">Dungeon Roguelike – Balance Rules (Alpha set, 128 cards)</t>
  </si>
  <si>
    <t xml:space="preserve">Blue cells on yellow are inputs: change them and every card's value/budget on the Cards tab recalculates.</t>
  </si>
  <si>
    <t xml:space="preserve">Baseline (combat)</t>
  </si>
  <si>
    <t xml:space="preserve">Player max HP</t>
  </si>
  <si>
    <t xml:space="preserve">Starting value; tune in playtests</t>
  </si>
  <si>
    <t xml:space="preserve">Energy per turn</t>
  </si>
  <si>
    <t xml:space="preserve">Cards drawn per turn</t>
  </si>
  <si>
    <t xml:space="preserve">Starter deck size</t>
  </si>
  <si>
    <t xml:space="preserve">5 Strike, 4 Defend, 1 Lantern Bash</t>
  </si>
  <si>
    <t xml:space="preserve">Normal enemy HP (min)</t>
  </si>
  <si>
    <t xml:space="preserve">Simulation: fights last ~2 turns at 12-25 HP; ~35-45 would hit the 3-4 turn target</t>
  </si>
  <si>
    <t xml:space="preserve">Normal enemy HP (max)</t>
  </si>
  <si>
    <t xml:space="preserve">Elite HP (min)</t>
  </si>
  <si>
    <t xml:space="preserve">Elite HP (max)</t>
  </si>
  <si>
    <t xml:space="preserve">Boss HP</t>
  </si>
  <si>
    <t xml:space="preserve">Single boss for v1</t>
  </si>
  <si>
    <t xml:space="preserve">Budget formula</t>
  </si>
  <si>
    <t xml:space="preserve">Points per energy</t>
  </si>
  <si>
    <t xml:space="preserve">Budget = cost × this + base + rarity bonus</t>
  </si>
  <si>
    <t xml:space="preserve">Base card value</t>
  </si>
  <si>
    <t xml:space="preserve">Being a card is worth something (draw + hand slot)</t>
  </si>
  <si>
    <t xml:space="preserve">Rarity bonus: Common</t>
  </si>
  <si>
    <t xml:space="preserve">Rarity bonus: Uncommon</t>
  </si>
  <si>
    <t xml:space="preserve">Rarity bonus: Rare</t>
  </si>
  <si>
    <t xml:space="preserve">Rarity bonus: Legendary</t>
  </si>
  <si>
    <t xml:space="preserve">NEW. Legendaries are also Unique: one copy per deck</t>
  </si>
  <si>
    <t xml:space="preserve">Exhaust budget multiplier</t>
  </si>
  <si>
    <t xml:space="preserve">One-use cards get 30% more budget</t>
  </si>
  <si>
    <t xml:space="preserve">Power value multiplier</t>
  </si>
  <si>
    <t xml:space="preserve">Power effects listed per turn are worth ×2</t>
  </si>
  <si>
    <t xml:space="preserve">'All enemies' multiplier</t>
  </si>
  <si>
    <t xml:space="preserve">Applies to AoE damage and debuffs that hit all enemies</t>
  </si>
  <si>
    <t xml:space="preserve">Balanced tolerance (±)</t>
  </si>
  <si>
    <t xml:space="preserve">Value within this of budget = Balanced</t>
  </si>
  <si>
    <t xml:space="preserve">Effect price list (points per 1)</t>
  </si>
  <si>
    <t xml:space="preserve">Damage</t>
  </si>
  <si>
    <t xml:space="preserve">Block</t>
  </si>
  <si>
    <t xml:space="preserve">Reliable defense is slightly better than damage</t>
  </si>
  <si>
    <t xml:space="preserve">Heal</t>
  </si>
  <si>
    <t xml:space="preserve">Healing is scarce in roguelikes; keep it pricey</t>
  </si>
  <si>
    <t xml:space="preserve">Draw</t>
  </si>
  <si>
    <t xml:space="preserve">Energy</t>
  </si>
  <si>
    <t xml:space="preserve">Also used for 'next turn, gain energy'</t>
  </si>
  <si>
    <t xml:space="preserve">Weak (per turn)</t>
  </si>
  <si>
    <t xml:space="preserve">Enemy deals 25% less damage</t>
  </si>
  <si>
    <t xml:space="preserve">Vulnerable (per turn)</t>
  </si>
  <si>
    <t xml:space="preserve">Enemy takes 50% more damage</t>
  </si>
  <si>
    <t xml:space="preserve">Poison (per stack)</t>
  </si>
  <si>
    <t xml:space="preserve">Strength (per stack)</t>
  </si>
  <si>
    <t xml:space="preserve">+1 damage per attack hit for the rest of the fight</t>
  </si>
  <si>
    <t xml:space="preserve">HP loss (per 1)</t>
  </si>
  <si>
    <t xml:space="preserve">A cost to the player; subtracts value</t>
  </si>
  <si>
    <t xml:space="preserve">Retain</t>
  </si>
  <si>
    <t xml:space="preserve">NEW. Flat value for a card that stays in your hand</t>
  </si>
  <si>
    <t xml:space="preserve">ID</t>
  </si>
  <si>
    <t xml:space="preserve">Name</t>
  </si>
  <si>
    <t xml:space="preserve">Type</t>
  </si>
  <si>
    <t xml:space="preserve">Cost</t>
  </si>
  <si>
    <t xml:space="preserve">Rarity</t>
  </si>
  <si>
    <t xml:space="preserve">Archetype</t>
  </si>
  <si>
    <t xml:space="preserve">Card text</t>
  </si>
  <si>
    <t xml:space="preserve">Upgraded text</t>
  </si>
  <si>
    <t xml:space="preserve">AoE dmg</t>
  </si>
  <si>
    <t xml:space="preserve">Weak</t>
  </si>
  <si>
    <t xml:space="preserve">Vuln</t>
  </si>
  <si>
    <t xml:space="preserve">Poison</t>
  </si>
  <si>
    <t xml:space="preserve">Debuffs hit all?</t>
  </si>
  <si>
    <t xml:space="preserve">Strength</t>
  </si>
  <si>
    <t xml:space="preserve">HP loss</t>
  </si>
  <si>
    <t xml:space="preserve">Exhaust?</t>
  </si>
  <si>
    <t xml:space="preserve">Retain?</t>
  </si>
  <si>
    <t xml:space="preserve">Other value</t>
  </si>
  <si>
    <t xml:space="preserve">Notes</t>
  </si>
  <si>
    <t xml:space="preserve">Value</t>
  </si>
  <si>
    <t xml:space="preserve">Budget</t>
  </si>
  <si>
    <t xml:space="preserve">Difference</t>
  </si>
  <si>
    <t xml:space="preserve">Status</t>
  </si>
  <si>
    <t xml:space="preserve">S01</t>
  </si>
  <si>
    <t xml:space="preserve">Strike</t>
  </si>
  <si>
    <t xml:space="preserve">Attack</t>
  </si>
  <si>
    <t xml:space="preserve">Starter</t>
  </si>
  <si>
    <t xml:space="preserve">Neutral</t>
  </si>
  <si>
    <t xml:space="preserve">Deal 6 damage.</t>
  </si>
  <si>
    <t xml:space="preserve">Deal 9 damage.</t>
  </si>
  <si>
    <t xml:space="preserve">x5 in starter deck</t>
  </si>
  <si>
    <t xml:space="preserve">S02</t>
  </si>
  <si>
    <t xml:space="preserve">Defend</t>
  </si>
  <si>
    <t xml:space="preserve">Skill</t>
  </si>
  <si>
    <t xml:space="preserve">Gain 5 block.</t>
  </si>
  <si>
    <t xml:space="preserve">Gain 8 block.</t>
  </si>
  <si>
    <t xml:space="preserve">x4 in starter deck</t>
  </si>
  <si>
    <t xml:space="preserve">S03</t>
  </si>
  <si>
    <t xml:space="preserve">Lantern Bash</t>
  </si>
  <si>
    <t xml:space="preserve">Deal 5 damage. Apply 1 Vulnerable.</t>
  </si>
  <si>
    <t xml:space="preserve">Deal 7 damage. Apply 2 Vulnerable.</t>
  </si>
  <si>
    <t xml:space="preserve">x1 signature card; teaches debuffs</t>
  </si>
  <si>
    <t xml:space="preserve">C01</t>
  </si>
  <si>
    <t xml:space="preserve">Slash</t>
  </si>
  <si>
    <t xml:space="preserve">Common</t>
  </si>
  <si>
    <t xml:space="preserve">Deal 12 damage.</t>
  </si>
  <si>
    <t xml:space="preserve">C02</t>
  </si>
  <si>
    <t xml:space="preserve">Quick Jab</t>
  </si>
  <si>
    <t xml:space="preserve">Brawler</t>
  </si>
  <si>
    <t xml:space="preserve">Deal 3 damage.</t>
  </si>
  <si>
    <t xml:space="preserve">Deal 5 damage.</t>
  </si>
  <si>
    <t xml:space="preserve">Free attacks scale with Strength</t>
  </si>
  <si>
    <t xml:space="preserve">C03</t>
  </si>
  <si>
    <t xml:space="preserve">Cleave</t>
  </si>
  <si>
    <t xml:space="preserve">Deal 6 damage to ALL enemies.</t>
  </si>
  <si>
    <t xml:space="preserve">Deal 9 damage to ALL enemies.</t>
  </si>
  <si>
    <t xml:space="preserve">C04</t>
  </si>
  <si>
    <t xml:space="preserve">Heavy Swing</t>
  </si>
  <si>
    <t xml:space="preserve">Deal 15 damage.</t>
  </si>
  <si>
    <t xml:space="preserve">Deal 20 damage.</t>
  </si>
  <si>
    <t xml:space="preserve">C05</t>
  </si>
  <si>
    <t xml:space="preserve">Twin Strike</t>
  </si>
  <si>
    <t xml:space="preserve">Deal 4 damage twice.</t>
  </si>
  <si>
    <t xml:space="preserve">Deal 5 damage twice.</t>
  </si>
  <si>
    <t xml:space="preserve">Other: multi-hit doubles Strength bonus</t>
  </si>
  <si>
    <t xml:space="preserve">C06</t>
  </si>
  <si>
    <t xml:space="preserve">Poisoned Blade</t>
  </si>
  <si>
    <t xml:space="preserve">Venom</t>
  </si>
  <si>
    <t xml:space="preserve">Deal 3 damage. Apply 4 Poison.</t>
  </si>
  <si>
    <t xml:space="preserve">Deal 4 damage. Apply 6 Poison.</t>
  </si>
  <si>
    <t xml:space="preserve">C07</t>
  </si>
  <si>
    <t xml:space="preserve">Shield Slam</t>
  </si>
  <si>
    <t xml:space="preserve">Guardian</t>
  </si>
  <si>
    <t xml:space="preserve">Deal 4 damage. Gain 4 block.</t>
  </si>
  <si>
    <t xml:space="preserve">Deal 6 damage. Gain 6 block.</t>
  </si>
  <si>
    <t xml:space="preserve">C08</t>
  </si>
  <si>
    <t xml:space="preserve">Venom Fang</t>
  </si>
  <si>
    <t xml:space="preserve">Apply 2 Poison.</t>
  </si>
  <si>
    <t xml:space="preserve">Apply 3 Poison.</t>
  </si>
  <si>
    <t xml:space="preserve">C09</t>
  </si>
  <si>
    <t xml:space="preserve">Pommel Strike</t>
  </si>
  <si>
    <t xml:space="preserve">Tactician</t>
  </si>
  <si>
    <t xml:space="preserve">Deal 5 damage. Draw 1 card.</t>
  </si>
  <si>
    <t xml:space="preserve">Deal 7 damage. Draw 1 card.</t>
  </si>
  <si>
    <t xml:space="preserve">C10</t>
  </si>
  <si>
    <t xml:space="preserve">Torch Swing</t>
  </si>
  <si>
    <t xml:space="preserve">Deal 6 damage. Apply 1 Vulnerable.</t>
  </si>
  <si>
    <t xml:space="preserve">Deal 8 damage. Apply 2 Vulnerable.</t>
  </si>
  <si>
    <t xml:space="preserve">C11</t>
  </si>
  <si>
    <t xml:space="preserve">Brace</t>
  </si>
  <si>
    <t xml:space="preserve">Gain 7 block.</t>
  </si>
  <si>
    <t xml:space="preserve">Gain 10 block.</t>
  </si>
  <si>
    <t xml:space="preserve">C12</t>
  </si>
  <si>
    <t xml:space="preserve">Raise Shield</t>
  </si>
  <si>
    <t xml:space="preserve">Gain 12 block.</t>
  </si>
  <si>
    <t xml:space="preserve">Gain 16 block.</t>
  </si>
  <si>
    <t xml:space="preserve">C13</t>
  </si>
  <si>
    <t xml:space="preserve">Dodge Roll</t>
  </si>
  <si>
    <t xml:space="preserve">Gain 4 block. Draw 1 card.</t>
  </si>
  <si>
    <t xml:space="preserve">Gain 6 block. Draw 1 card.</t>
  </si>
  <si>
    <t xml:space="preserve">C14</t>
  </si>
  <si>
    <t xml:space="preserve">Toxic Vial</t>
  </si>
  <si>
    <t xml:space="preserve">Apply 6 Poison.</t>
  </si>
  <si>
    <t xml:space="preserve">Apply 9 Poison.</t>
  </si>
  <si>
    <t xml:space="preserve">C15</t>
  </si>
  <si>
    <t xml:space="preserve">Bandage</t>
  </si>
  <si>
    <t xml:space="preserve">Gain 4 block. Heal 4 HP. Exhaust.</t>
  </si>
  <si>
    <t xml:space="preserve">Gain 5 block. Heal 6 HP. Exhaust.</t>
  </si>
  <si>
    <t xml:space="preserve">Y</t>
  </si>
  <si>
    <t xml:space="preserve">Only in-combat heal at Common</t>
  </si>
  <si>
    <t xml:space="preserve">C16</t>
  </si>
  <si>
    <t xml:space="preserve">Scout Ahead</t>
  </si>
  <si>
    <t xml:space="preserve">Draw 2 cards.</t>
  </si>
  <si>
    <t xml:space="preserve">Draw 3 cards.</t>
  </si>
  <si>
    <t xml:space="preserve">C17</t>
  </si>
  <si>
    <t xml:space="preserve">Smoke Bomb</t>
  </si>
  <si>
    <t xml:space="preserve">Apply 2 Weak to ALL enemies.</t>
  </si>
  <si>
    <t xml:space="preserve">Apply 3 Weak to ALL enemies.</t>
  </si>
  <si>
    <t xml:space="preserve">C18</t>
  </si>
  <si>
    <t xml:space="preserve">Sharpen</t>
  </si>
  <si>
    <t xml:space="preserve">Your next Attack this turn deals 3 extra damage.</t>
  </si>
  <si>
    <t xml:space="preserve">Your next Attack this turn deals 5 extra damage.</t>
  </si>
  <si>
    <t xml:space="preserve">Other: conditional +3 damage</t>
  </si>
  <si>
    <t xml:space="preserve">C19</t>
  </si>
  <si>
    <t xml:space="preserve">Deep Breath</t>
  </si>
  <si>
    <t xml:space="preserve">Draw 1 card. Exhaust.</t>
  </si>
  <si>
    <t xml:space="preserve">Draw 2 cards. Exhaust.</t>
  </si>
  <si>
    <t xml:space="preserve">C20</t>
  </si>
  <si>
    <t xml:space="preserve">Stand Firm</t>
  </si>
  <si>
    <t xml:space="preserve">Gain 5 block. Apply 1 Weak.</t>
  </si>
  <si>
    <t xml:space="preserve">Gain 7 block. Apply 1 Weak.</t>
  </si>
  <si>
    <t xml:space="preserve">C21</t>
  </si>
  <si>
    <t xml:space="preserve">Rope Swing</t>
  </si>
  <si>
    <t xml:space="preserve">Deal 5 damage. Gain 3 block.</t>
  </si>
  <si>
    <t xml:space="preserve">Deal 7 damage. Gain 4 block.</t>
  </si>
  <si>
    <t xml:space="preserve">C22</t>
  </si>
  <si>
    <t xml:space="preserve">Torchlight</t>
  </si>
  <si>
    <t xml:space="preserve">Gain 3 block. Draw 1 card. Retain.</t>
  </si>
  <si>
    <t xml:space="preserve">Gain 5 block. Draw 1 card. Retain.</t>
  </si>
  <si>
    <t xml:space="preserve">C23</t>
  </si>
  <si>
    <t xml:space="preserve">Rations</t>
  </si>
  <si>
    <t xml:space="preserve">Heal 5 HP. Draw 1 card. Exhaust.</t>
  </si>
  <si>
    <t xml:space="preserve">Heal 7 HP. Draw 1 card. Exhaust.</t>
  </si>
  <si>
    <t xml:space="preserve">C24</t>
  </si>
  <si>
    <t xml:space="preserve">Crossbow Bolt</t>
  </si>
  <si>
    <t xml:space="preserve">Deal 12 damage. Apply 1 Weak.</t>
  </si>
  <si>
    <t xml:space="preserve">Deal 16 damage. Apply 1 Weak.</t>
  </si>
  <si>
    <t xml:space="preserve">C25</t>
  </si>
  <si>
    <t xml:space="preserve">Warm Up</t>
  </si>
  <si>
    <t xml:space="preserve">Deal 5 damage. Gain 1 Strength.</t>
  </si>
  <si>
    <t xml:space="preserve">Deal 7 damage. Gain 1 Strength.</t>
  </si>
  <si>
    <t xml:space="preserve">C26</t>
  </si>
  <si>
    <t xml:space="preserve">Uppercut</t>
  </si>
  <si>
    <t xml:space="preserve">Deal 6 damage. Apply 1 Weak.</t>
  </si>
  <si>
    <t xml:space="preserve">Deal 8 damage. Apply 2 Weak.</t>
  </si>
  <si>
    <t xml:space="preserve">C27</t>
  </si>
  <si>
    <t xml:space="preserve">Flurry</t>
  </si>
  <si>
    <t xml:space="preserve">Deal 2 damage 4 times.</t>
  </si>
  <si>
    <t xml:space="preserve">Deal 3 damage 4 times.</t>
  </si>
  <si>
    <t xml:space="preserve">Other: 4 hits quadruple Strength bonus</t>
  </si>
  <si>
    <t xml:space="preserve">C28</t>
  </si>
  <si>
    <t xml:space="preserve">Double Tap</t>
  </si>
  <si>
    <t xml:space="preserve">Deal 2 damage twice.</t>
  </si>
  <si>
    <t xml:space="preserve">Deal 3 damage twice.</t>
  </si>
  <si>
    <t xml:space="preserve">Multi-hit; pairs with Strength</t>
  </si>
  <si>
    <t xml:space="preserve">C29</t>
  </si>
  <si>
    <t xml:space="preserve">Charge</t>
  </si>
  <si>
    <t xml:space="preserve">Deal 10 damage. Gain 1 Strength.</t>
  </si>
  <si>
    <t xml:space="preserve">Deal 13 damage. Gain 1 Strength.</t>
  </si>
  <si>
    <t xml:space="preserve">C30</t>
  </si>
  <si>
    <t xml:space="preserve">Rage Fist</t>
  </si>
  <si>
    <t xml:space="preserve">Deal 10 damage. Lose 1 HP.</t>
  </si>
  <si>
    <t xml:space="preserve">Deal 13 damage. Lose 1 HP.</t>
  </si>
  <si>
    <t xml:space="preserve">C31</t>
  </si>
  <si>
    <t xml:space="preserve">Grit Teeth</t>
  </si>
  <si>
    <t xml:space="preserve">Gain 4 block. Gain 1 Strength.</t>
  </si>
  <si>
    <t xml:space="preserve">Gain 6 block. Gain 1 Strength.</t>
  </si>
  <si>
    <t xml:space="preserve">C32</t>
  </si>
  <si>
    <t xml:space="preserve">Wild Swing</t>
  </si>
  <si>
    <t xml:space="preserve">Deal 12 damage to a random enemy.</t>
  </si>
  <si>
    <t xml:space="preserve">Deal 16 damage to a random enemy.</t>
  </si>
  <si>
    <t xml:space="preserve">Other: random target is a drawback</t>
  </si>
  <si>
    <t xml:space="preserve">C33</t>
  </si>
  <si>
    <t xml:space="preserve">Hunker Down</t>
  </si>
  <si>
    <t xml:space="preserve">Gain 6 block. Retain.</t>
  </si>
  <si>
    <t xml:space="preserve">Gain 8 block. Retain.</t>
  </si>
  <si>
    <t xml:space="preserve">C34</t>
  </si>
  <si>
    <t xml:space="preserve">Buckler Bash</t>
  </si>
  <si>
    <t xml:space="preserve">Deal damage equal to your block.</t>
  </si>
  <si>
    <t xml:space="preserve">Costs 0. Deal damage equal to your block.</t>
  </si>
  <si>
    <t xml:space="preserve">NEW: damage_equals_block. PLAYTEST: value ~ typical block (8)</t>
  </si>
  <si>
    <t xml:space="preserve">C35</t>
  </si>
  <si>
    <t xml:space="preserve">Shield Wall</t>
  </si>
  <si>
    <t xml:space="preserve">Gain 9 block. Apply 1 Weak to ALL enemies.</t>
  </si>
  <si>
    <t xml:space="preserve">Gain 12 block. Apply 1 Weak to ALL enemies.</t>
  </si>
  <si>
    <t xml:space="preserve">C36</t>
  </si>
  <si>
    <t xml:space="preserve">Fortify</t>
  </si>
  <si>
    <t xml:space="preserve">Gain 3 block.</t>
  </si>
  <si>
    <t xml:space="preserve">C37</t>
  </si>
  <si>
    <t xml:space="preserve">Spiked Shield</t>
  </si>
  <si>
    <t xml:space="preserve">Deal 3 damage. Gain 5 block.</t>
  </si>
  <si>
    <t xml:space="preserve">Deal 5 damage. Gain 7 block.</t>
  </si>
  <si>
    <t xml:space="preserve">C38</t>
  </si>
  <si>
    <t xml:space="preserve">Steadfast</t>
  </si>
  <si>
    <t xml:space="preserve">Gain 5 block. Next turn, gain 3 block.</t>
  </si>
  <si>
    <t xml:space="preserve">Gain 7 block. Next turn, gain 4 block.</t>
  </si>
  <si>
    <t xml:space="preserve">Block column = 5 now + 3 next turn</t>
  </si>
  <si>
    <t xml:space="preserve">C39</t>
  </si>
  <si>
    <t xml:space="preserve">Rebuke</t>
  </si>
  <si>
    <t xml:space="preserve">Gain 4 block. If the enemy intends to attack, apply 2 Weak.</t>
  </si>
  <si>
    <t xml:space="preserve">Gain 6 block. If the enemy intends to attack, apply 2 Weak.</t>
  </si>
  <si>
    <t xml:space="preserve">NEW: if_intent on a status. Other: conditional 2 Weak (~4)</t>
  </si>
  <si>
    <t xml:space="preserve">C40</t>
  </si>
  <si>
    <t xml:space="preserve">Intercept</t>
  </si>
  <si>
    <t xml:space="preserve">Gain 4 block. Exhaust.</t>
  </si>
  <si>
    <t xml:space="preserve">Gain 6 block. Exhaust.</t>
  </si>
  <si>
    <t xml:space="preserve">C41</t>
  </si>
  <si>
    <t xml:space="preserve">Spit Venom</t>
  </si>
  <si>
    <t xml:space="preserve">Apply 4 Poison to ALL enemies.</t>
  </si>
  <si>
    <t xml:space="preserve">Apply 6 Poison to ALL enemies.</t>
  </si>
  <si>
    <t xml:space="preserve">C42</t>
  </si>
  <si>
    <t xml:space="preserve">Barbed Dart</t>
  </si>
  <si>
    <t xml:space="preserve">Deal 5 damage. Apply 3 Poison.</t>
  </si>
  <si>
    <t xml:space="preserve">Deal 6 damage. Apply 5 Poison.</t>
  </si>
  <si>
    <t xml:space="preserve">C43</t>
  </si>
  <si>
    <t xml:space="preserve">Snake Bite</t>
  </si>
  <si>
    <t xml:space="preserve">Deal 1 damage. Apply 1 Poison.</t>
  </si>
  <si>
    <t xml:space="preserve">Deal 2 damage. Apply 2 Poison.</t>
  </si>
  <si>
    <t xml:space="preserve">C44</t>
  </si>
  <si>
    <t xml:space="preserve">Toxic Mist</t>
  </si>
  <si>
    <t xml:space="preserve">Apply 4 Poison. Apply 1 Weak.</t>
  </si>
  <si>
    <t xml:space="preserve">Apply 6 Poison. Apply 1 Weak.</t>
  </si>
  <si>
    <t xml:space="preserve">C45</t>
  </si>
  <si>
    <t xml:space="preserve">Rotting Burst</t>
  </si>
  <si>
    <t xml:space="preserve">Deal 4 damage to ALL enemies. Apply 2 Poison to ALL enemies.</t>
  </si>
  <si>
    <t xml:space="preserve">Deal 5 damage to ALL enemies. Apply 3 Poison to ALL enemies.</t>
  </si>
  <si>
    <t xml:space="preserve">C46</t>
  </si>
  <si>
    <t xml:space="preserve">Venom Ward</t>
  </si>
  <si>
    <t xml:space="preserve">Gain 4 block. Apply 2 Poison to ALL enemies.</t>
  </si>
  <si>
    <t xml:space="preserve">Gain 6 block. Apply 3 Poison to ALL enemies.</t>
  </si>
  <si>
    <t xml:space="preserve">C47</t>
  </si>
  <si>
    <t xml:space="preserve">Creeping Rot</t>
  </si>
  <si>
    <t xml:space="preserve">Apply 3 Poison. Exhaust.</t>
  </si>
  <si>
    <t xml:space="preserve">Apply 5 Poison. Exhaust.</t>
  </si>
  <si>
    <t xml:space="preserve">C48</t>
  </si>
  <si>
    <t xml:space="preserve">Poison Shank</t>
  </si>
  <si>
    <t xml:space="preserve">Deal 3 damage. Apply 2 Poison. Retain.</t>
  </si>
  <si>
    <t xml:space="preserve">Deal 4 damage. Apply 4 Poison. Retain.</t>
  </si>
  <si>
    <t xml:space="preserve">C49</t>
  </si>
  <si>
    <t xml:space="preserve">Size Up</t>
  </si>
  <si>
    <t xml:space="preserve">Draw 1 card. Apply 1 Weak and 1 Vulnerable.</t>
  </si>
  <si>
    <t xml:space="preserve">Draw 2 cards. Apply 1 Weak and 1 Vulnerable.</t>
  </si>
  <si>
    <t xml:space="preserve">C50</t>
  </si>
  <si>
    <t xml:space="preserve">Feint</t>
  </si>
  <si>
    <t xml:space="preserve">Gain 4 block. Apply 1 Weak to ALL enemies.</t>
  </si>
  <si>
    <t xml:space="preserve">Gain 6 block. Apply 2 Weak to ALL enemies.</t>
  </si>
  <si>
    <t xml:space="preserve">C51</t>
  </si>
  <si>
    <t xml:space="preserve">Prepared Strike</t>
  </si>
  <si>
    <t xml:space="preserve">Deal 6 damage. Retain.</t>
  </si>
  <si>
    <t xml:space="preserve">Deal 9 damage. Retain.</t>
  </si>
  <si>
    <t xml:space="preserve">C52</t>
  </si>
  <si>
    <t xml:space="preserve">Trip Wire</t>
  </si>
  <si>
    <t xml:space="preserve">Gain 3 block. Apply 2 Vulnerable.</t>
  </si>
  <si>
    <t xml:space="preserve">Gain 5 block. Apply 3 Vulnerable.</t>
  </si>
  <si>
    <t xml:space="preserve">C53</t>
  </si>
  <si>
    <t xml:space="preserve">Sift</t>
  </si>
  <si>
    <t xml:space="preserve">Draw 1 card, then discard 1.</t>
  </si>
  <si>
    <t xml:space="preserve">Draw 2 cards, then discard 1.</t>
  </si>
  <si>
    <t xml:space="preserve">Other: discard cost</t>
  </si>
  <si>
    <t xml:space="preserve">C54</t>
  </si>
  <si>
    <t xml:space="preserve">Signal Flare</t>
  </si>
  <si>
    <t xml:space="preserve">Apply 1 Vulnerable to ALL enemies. Draw 1 card.</t>
  </si>
  <si>
    <t xml:space="preserve">Apply 2 Vulnerable to ALL enemies. Draw 1 card.</t>
  </si>
  <si>
    <t xml:space="preserve">C55</t>
  </si>
  <si>
    <t xml:space="preserve">Calculated Blow</t>
  </si>
  <si>
    <t xml:space="preserve">Deal 10 damage. Draw 1 card.</t>
  </si>
  <si>
    <t xml:space="preserve">Deal 14 damage. Draw 1 card.</t>
  </si>
  <si>
    <t xml:space="preserve">U01</t>
  </si>
  <si>
    <t xml:space="preserve">Expose</t>
  </si>
  <si>
    <t xml:space="preserve">Uncommon</t>
  </si>
  <si>
    <t xml:space="preserve">Deal 5 damage. Apply 2 Vulnerable.</t>
  </si>
  <si>
    <t xml:space="preserve">Deal 7 damage. Apply 3 Vulnerable.</t>
  </si>
  <si>
    <t xml:space="preserve">U02</t>
  </si>
  <si>
    <t xml:space="preserve">Shield Bash</t>
  </si>
  <si>
    <t xml:space="preserve">Deal 8 damage. Gain 7 block.</t>
  </si>
  <si>
    <t xml:space="preserve">Deal 11 damage. Gain 9 block.</t>
  </si>
  <si>
    <t xml:space="preserve">U03</t>
  </si>
  <si>
    <t xml:space="preserve">Whirling Blade</t>
  </si>
  <si>
    <t xml:space="preserve">Deal 11 damage to ALL enemies.</t>
  </si>
  <si>
    <t xml:space="preserve">Deal 15 damage to ALL enemies.</t>
  </si>
  <si>
    <t xml:space="preserve">U04</t>
  </si>
  <si>
    <t xml:space="preserve">Venom Cloud</t>
  </si>
  <si>
    <t xml:space="preserve">Apply 7 Poison to ALL enemies.</t>
  </si>
  <si>
    <t xml:space="preserve">Apply 10 Poison to ALL enemies.</t>
  </si>
  <si>
    <t xml:space="preserve">U05</t>
  </si>
  <si>
    <t xml:space="preserve">Rally</t>
  </si>
  <si>
    <t xml:space="preserve">Gain 1 energy. Exhaust.</t>
  </si>
  <si>
    <t xml:space="preserve">Gain 1 energy. Draw 1 card. Exhaust.</t>
  </si>
  <si>
    <t xml:space="preserve">U06</t>
  </si>
  <si>
    <t xml:space="preserve">Iron Skin</t>
  </si>
  <si>
    <t xml:space="preserve">Power</t>
  </si>
  <si>
    <t xml:space="preserve">At the start of each turn, gain 4 block.</t>
  </si>
  <si>
    <t xml:space="preserve">At the start of each turn, gain 6 block.</t>
  </si>
  <si>
    <t xml:space="preserve">Power: per-turn effect</t>
  </si>
  <si>
    <t xml:space="preserve">U07</t>
  </si>
  <si>
    <t xml:space="preserve">Battle Cry</t>
  </si>
  <si>
    <t xml:space="preserve">Gain 2 Strength. Draw 1 card.</t>
  </si>
  <si>
    <t xml:space="preserve">Gain 3 Strength. Draw 1 card.</t>
  </si>
  <si>
    <t xml:space="preserve">Core Brawler engine</t>
  </si>
  <si>
    <t xml:space="preserve">U08</t>
  </si>
  <si>
    <t xml:space="preserve">Bloodletter</t>
  </si>
  <si>
    <t xml:space="preserve">Deal 12 damage. If this kills an enemy, heal 5 HP.</t>
  </si>
  <si>
    <t xml:space="preserve">Deal 15 damage. If this kills an enemy, heal 7 HP.</t>
  </si>
  <si>
    <t xml:space="preserve">Other: conditional heal (~half of 5 heal)</t>
  </si>
  <si>
    <t xml:space="preserve">U09</t>
  </si>
  <si>
    <t xml:space="preserve">Envenom</t>
  </si>
  <si>
    <t xml:space="preserve">Whenever your Attack deals damage, apply 1 Poison.</t>
  </si>
  <si>
    <t xml:space="preserve">Whenever your Attack deals damage, apply 2 Poison.</t>
  </si>
  <si>
    <t xml:space="preserve">PLAYTEST: value depends on attacks per turn</t>
  </si>
  <si>
    <t xml:space="preserve">U10</t>
  </si>
  <si>
    <t xml:space="preserve">Parry</t>
  </si>
  <si>
    <t xml:space="preserve">Gain 6 block. If the enemy intends to attack, deal 5 damage to it.</t>
  </si>
  <si>
    <t xml:space="preserve">Gain 8 block. If the enemy intends to attack, deal 8 damage to it.</t>
  </si>
  <si>
    <t xml:space="preserve">Uses enemy intent (Role 1)</t>
  </si>
  <si>
    <t xml:space="preserve">U11</t>
  </si>
  <si>
    <t xml:space="preserve">Reckless Charge</t>
  </si>
  <si>
    <t xml:space="preserve">Deal 8 damage. Lose 2 HP.</t>
  </si>
  <si>
    <t xml:space="preserve">Deal 11 damage. Lose 2 HP.</t>
  </si>
  <si>
    <t xml:space="preserve">U12</t>
  </si>
  <si>
    <t xml:space="preserve">Quick Thinking</t>
  </si>
  <si>
    <t xml:space="preserve">Draw 3 cards, then discard 1.</t>
  </si>
  <si>
    <t xml:space="preserve">Draw 4 cards, then discard 1.</t>
  </si>
  <si>
    <t xml:space="preserve">Other: discard cost; needs choose-a-card UI (Role 3)</t>
  </si>
  <si>
    <t xml:space="preserve">U13</t>
  </si>
  <si>
    <t xml:space="preserve">Bulwark</t>
  </si>
  <si>
    <t xml:space="preserve">Gain 10 block. Next turn, gain 5 block.</t>
  </si>
  <si>
    <t xml:space="preserve">Gain 13 block. Next turn, gain 7 block.</t>
  </si>
  <si>
    <t xml:space="preserve">Block column = 10 now + 5 next turn</t>
  </si>
  <si>
    <t xml:space="preserve">U14</t>
  </si>
  <si>
    <t xml:space="preserve">Catalyst</t>
  </si>
  <si>
    <t xml:space="preserve">Double an enemy's Poison. Exhaust.</t>
  </si>
  <si>
    <t xml:space="preserve">Triple an enemy's Poison. Exhaust.</t>
  </si>
  <si>
    <t xml:space="preserve">PLAYTEST: scales with existing Poison</t>
  </si>
  <si>
    <t xml:space="preserve">U15</t>
  </si>
  <si>
    <t xml:space="preserve">Field Medic</t>
  </si>
  <si>
    <t xml:space="preserve">Heal 3 HP. Gain 6 block.</t>
  </si>
  <si>
    <t xml:space="preserve">Heal 5 HP. Gain 7 block.</t>
  </si>
  <si>
    <t xml:space="preserve">U16</t>
  </si>
  <si>
    <t xml:space="preserve">Lucky Find</t>
  </si>
  <si>
    <t xml:space="preserve">Draw 3 cards. Exhaust.</t>
  </si>
  <si>
    <t xml:space="preserve">U17</t>
  </si>
  <si>
    <t xml:space="preserve">Map of the Depths</t>
  </si>
  <si>
    <t xml:space="preserve">At the start of your turn, draw 1 extra card.</t>
  </si>
  <si>
    <t xml:space="preserve">Costs 0. At the start of your turn, draw 1 extra card.</t>
  </si>
  <si>
    <t xml:space="preserve">NEW power: draw_per_turn. PLAYTEST: card draw engines snowball</t>
  </si>
  <si>
    <t xml:space="preserve">U18</t>
  </si>
  <si>
    <t xml:space="preserve">Cleaving Fury</t>
  </si>
  <si>
    <t xml:space="preserve">Deal 5 damage to ALL enemies. Gain 1 Strength.</t>
  </si>
  <si>
    <t xml:space="preserve">Deal 7 damage to ALL enemies. Gain 1 Strength.</t>
  </si>
  <si>
    <t xml:space="preserve">U19</t>
  </si>
  <si>
    <t xml:space="preserve">Bloodlust</t>
  </si>
  <si>
    <t xml:space="preserve">At the start of your turn, gain 1 Strength.</t>
  </si>
  <si>
    <t xml:space="preserve">Costs 1. At the start of your turn, gain 1 Strength.</t>
  </si>
  <si>
    <t xml:space="preserve">NEW power: strength_per_turn. PLAYTEST: ramps every turn</t>
  </si>
  <si>
    <t xml:space="preserve">U20</t>
  </si>
  <si>
    <t xml:space="preserve">Pummel</t>
  </si>
  <si>
    <t xml:space="preserve">Deal 3 damage 4 times. Exhaust.</t>
  </si>
  <si>
    <t xml:space="preserve">Deal 4 damage 4 times. Exhaust.</t>
  </si>
  <si>
    <t xml:space="preserve">U21</t>
  </si>
  <si>
    <t xml:space="preserve">Haymaker</t>
  </si>
  <si>
    <t xml:space="preserve">Deal 14 damage. Apply 1 Weak.</t>
  </si>
  <si>
    <t xml:space="preserve">Deal 18 damage. Apply 2 Weak.</t>
  </si>
  <si>
    <t xml:space="preserve">U22</t>
  </si>
  <si>
    <t xml:space="preserve">Reckless Smash</t>
  </si>
  <si>
    <t xml:space="preserve">Deal 20 damage. Lose 2 HP.</t>
  </si>
  <si>
    <t xml:space="preserve">Deal 26 damage. Lose 2 HP.</t>
  </si>
  <si>
    <t xml:space="preserve">U23</t>
  </si>
  <si>
    <t xml:space="preserve">Entrench</t>
  </si>
  <si>
    <t xml:space="preserve">Double your block.</t>
  </si>
  <si>
    <t xml:space="preserve">Costs 1. Double your block.</t>
  </si>
  <si>
    <t xml:space="preserve">NEW: multiply_block. PLAYTEST: value depends on current block</t>
  </si>
  <si>
    <t xml:space="preserve">U24</t>
  </si>
  <si>
    <t xml:space="preserve">Deflect</t>
  </si>
  <si>
    <t xml:space="preserve">Gain 3 block. Retain.</t>
  </si>
  <si>
    <t xml:space="preserve">Gain 5 block. Retain.</t>
  </si>
  <si>
    <t xml:space="preserve">U25</t>
  </si>
  <si>
    <t xml:space="preserve">Shield Throw</t>
  </si>
  <si>
    <t xml:space="preserve">Deal 6 damage to ALL enemies. Gain 2 block.</t>
  </si>
  <si>
    <t xml:space="preserve">Deal 8 damage to ALL enemies. Gain 3 block.</t>
  </si>
  <si>
    <t xml:space="preserve">U26</t>
  </si>
  <si>
    <t xml:space="preserve">Stone Skin</t>
  </si>
  <si>
    <t xml:space="preserve">Gain 11 block. Retain.</t>
  </si>
  <si>
    <t xml:space="preserve">U27</t>
  </si>
  <si>
    <t xml:space="preserve">Bastion</t>
  </si>
  <si>
    <t xml:space="preserve">Gain 8 block. Apply 2 Weak.</t>
  </si>
  <si>
    <t xml:space="preserve">Gain 11 block. Apply 2 Weak.</t>
  </si>
  <si>
    <t xml:space="preserve">U28</t>
  </si>
  <si>
    <t xml:space="preserve">Toxic Aura</t>
  </si>
  <si>
    <t xml:space="preserve">At the start of your turn, apply 1 Poison to ALL enemies.</t>
  </si>
  <si>
    <t xml:space="preserve">At the start of your turn, apply 2 Poison to ALL enemies.</t>
  </si>
  <si>
    <t xml:space="preserve">Reuses Black Plague's effect at a lower amount</t>
  </si>
  <si>
    <t xml:space="preserve">U29</t>
  </si>
  <si>
    <t xml:space="preserve">Bane</t>
  </si>
  <si>
    <t xml:space="preserve">Deal 7 damage. If the enemy is poisoned, deal 7 more.</t>
  </si>
  <si>
    <t xml:space="preserve">Deal 9 damage. If the enemy is poisoned, deal 9 more.</t>
  </si>
  <si>
    <t xml:space="preserve">NEW: bonus_if_status. Other: conditional 7 damage (~4)</t>
  </si>
  <si>
    <t xml:space="preserve">U30</t>
  </si>
  <si>
    <t xml:space="preserve">Corrosive Blade</t>
  </si>
  <si>
    <t xml:space="preserve">Deal 6 damage. Apply 7 Poison.</t>
  </si>
  <si>
    <t xml:space="preserve">Deal 8 damage. Apply 10 Poison.</t>
  </si>
  <si>
    <t xml:space="preserve">U31</t>
  </si>
  <si>
    <t xml:space="preserve">Virulence</t>
  </si>
  <si>
    <t xml:space="preserve">Apply 3 Poison to ALL enemies. Draw 1 card.</t>
  </si>
  <si>
    <t xml:space="preserve">Apply 4 Poison to ALL enemies. Draw 1 card.</t>
  </si>
  <si>
    <t xml:space="preserve">U32</t>
  </si>
  <si>
    <t xml:space="preserve">Bottled Plague</t>
  </si>
  <si>
    <t xml:space="preserve">Apply 3 Poison. Retain.</t>
  </si>
  <si>
    <t xml:space="preserve">Apply 5 Poison. Retain.</t>
  </si>
  <si>
    <t xml:space="preserve">U33</t>
  </si>
  <si>
    <t xml:space="preserve">Toxic Shell</t>
  </si>
  <si>
    <t xml:space="preserve">Gain 5 block. Apply 3 Poison.</t>
  </si>
  <si>
    <t xml:space="preserve">Gain 7 block. Apply 4 Poison.</t>
  </si>
  <si>
    <t xml:space="preserve">U34</t>
  </si>
  <si>
    <t xml:space="preserve">Venom Burst</t>
  </si>
  <si>
    <t xml:space="preserve">Deal damage equal to the enemy's Poison.</t>
  </si>
  <si>
    <t xml:space="preserve">Costs 0. Deal damage equal to the enemy's Poison.</t>
  </si>
  <si>
    <t xml:space="preserve">NEW: damage_equals_status (Poison). PLAYTEST: scales with Poison</t>
  </si>
  <si>
    <t xml:space="preserve">U35</t>
  </si>
  <si>
    <t xml:space="preserve">Reconnaissance</t>
  </si>
  <si>
    <t xml:space="preserve">Draw 2 cards. Apply 1 Vulnerable to ALL enemies.</t>
  </si>
  <si>
    <t xml:space="preserve">Draw 3 cards. Apply 1 Vulnerable to ALL enemies.</t>
  </si>
  <si>
    <t xml:space="preserve">U36</t>
  </si>
  <si>
    <t xml:space="preserve">Tactical Retreat</t>
  </si>
  <si>
    <t xml:space="preserve">Gain 4 block. Next turn, gain 1 energy.</t>
  </si>
  <si>
    <t xml:space="preserve">Gain 7 block. Next turn, gain 1 energy.</t>
  </si>
  <si>
    <t xml:space="preserve">NEW: energy_next_turn (priced as energy)</t>
  </si>
  <si>
    <t xml:space="preserve">U37</t>
  </si>
  <si>
    <t xml:space="preserve">Weak Point</t>
  </si>
  <si>
    <t xml:space="preserve">Deal 8 damage. Apply 2 Vulnerable and 1 Weak.</t>
  </si>
  <si>
    <t xml:space="preserve">Deal 11 damage. Apply 3 Vulnerable and 1 Weak.</t>
  </si>
  <si>
    <t xml:space="preserve">U38</t>
  </si>
  <si>
    <t xml:space="preserve">Overwhelm</t>
  </si>
  <si>
    <t xml:space="preserve">Apply 2 Weak and 2 Vulnerable to ALL enemies.</t>
  </si>
  <si>
    <t xml:space="preserve">Apply 3 Weak and 3 Vulnerable to ALL enemies.</t>
  </si>
  <si>
    <t xml:space="preserve">U39</t>
  </si>
  <si>
    <t xml:space="preserve">Battle Rhythm</t>
  </si>
  <si>
    <t xml:space="preserve">Draw 1 card. Next turn, gain 1 energy. Retain.</t>
  </si>
  <si>
    <t xml:space="preserve">Draw 2 cards. Next turn, gain 1 energy. Retain.</t>
  </si>
  <si>
    <t xml:space="preserve">Uses energy_next_turn</t>
  </si>
  <si>
    <t xml:space="preserve">U40</t>
  </si>
  <si>
    <t xml:space="preserve">Momentum</t>
  </si>
  <si>
    <t xml:space="preserve">Draw 2 cards. Retain.</t>
  </si>
  <si>
    <t xml:space="preserve">Draw 3 cards. Retain.</t>
  </si>
  <si>
    <t xml:space="preserve">R01</t>
  </si>
  <si>
    <t xml:space="preserve">Thorn Armor</t>
  </si>
  <si>
    <t xml:space="preserve">Rare</t>
  </si>
  <si>
    <t xml:space="preserve">Whenever you gain block, deal 3 damage to a random enemy.</t>
  </si>
  <si>
    <t xml:space="preserve">Whenever you gain block, deal 5 damage to a random enemy.</t>
  </si>
  <si>
    <t xml:space="preserve">PLAYTEST: ~2 block cards per turn</t>
  </si>
  <si>
    <t xml:space="preserve">R02</t>
  </si>
  <si>
    <t xml:space="preserve">Adrenaline</t>
  </si>
  <si>
    <t xml:space="preserve">Gain 2 energy. Draw 1 card. Exhaust.</t>
  </si>
  <si>
    <t xml:space="preserve">Gain 2 energy. Draw 2 cards. Exhaust.</t>
  </si>
  <si>
    <t xml:space="preserve">R03</t>
  </si>
  <si>
    <t xml:space="preserve">Executioner's Axe</t>
  </si>
  <si>
    <t xml:space="preserve">Deal 18 damage. Deals double damage to enemies below half HP.</t>
  </si>
  <si>
    <t xml:space="preserve">Deal 22 damage. Deals double damage to enemies below half HP.</t>
  </si>
  <si>
    <t xml:space="preserve">Other: conditional double damage</t>
  </si>
  <si>
    <t xml:space="preserve">R04</t>
  </si>
  <si>
    <t xml:space="preserve">Black Plague</t>
  </si>
  <si>
    <t xml:space="preserve">At the start of your turn, apply 3 Poison to ALL enemies.</t>
  </si>
  <si>
    <t xml:space="preserve">At the start of your turn, apply 4 Poison to ALL enemies.</t>
  </si>
  <si>
    <t xml:space="preserve">PLAYTEST: stacking Poison every turn</t>
  </si>
  <si>
    <t xml:space="preserve">R05</t>
  </si>
  <si>
    <t xml:space="preserve">Phoenix Feather</t>
  </si>
  <si>
    <t xml:space="preserve">Gain 5 block. Heal 7 HP. Exhaust.</t>
  </si>
  <si>
    <t xml:space="preserve">Gain 7 block. Heal 10 HP. Exhaust.</t>
  </si>
  <si>
    <t xml:space="preserve">Best heal in the set</t>
  </si>
  <si>
    <t xml:space="preserve">R06</t>
  </si>
  <si>
    <t xml:space="preserve">Berserker Rage</t>
  </si>
  <si>
    <t xml:space="preserve">Gain 1 extra energy at the start of each turn.</t>
  </si>
  <si>
    <t xml:space="preserve">Costs 0. Gain 1 extra energy at the start of each turn.</t>
  </si>
  <si>
    <t xml:space="preserve">Energy engines are the strongest effect; watch closely</t>
  </si>
  <si>
    <t xml:space="preserve">R07</t>
  </si>
  <si>
    <t xml:space="preserve">Healing Spring</t>
  </si>
  <si>
    <t xml:space="preserve">Heal 9 HP. Draw 1 card. Exhaust.</t>
  </si>
  <si>
    <t xml:space="preserve">Heal 12 HP. Draw 1 card. Exhaust.</t>
  </si>
  <si>
    <t xml:space="preserve">R08</t>
  </si>
  <si>
    <t xml:space="preserve">Explorer's Kit</t>
  </si>
  <si>
    <t xml:space="preserve">At the start of your turn, gain 3 block and draw 1 extra card.</t>
  </si>
  <si>
    <t xml:space="preserve">At the start of your turn, gain 5 block and draw 1 extra card.</t>
  </si>
  <si>
    <t xml:space="preserve">Uses Iron Skin + draw_per_turn</t>
  </si>
  <si>
    <t xml:space="preserve">R09</t>
  </si>
  <si>
    <t xml:space="preserve">Limit Break</t>
  </si>
  <si>
    <t xml:space="preserve">Double your Strength. Exhaust.</t>
  </si>
  <si>
    <t xml:space="preserve">Double your Strength.</t>
  </si>
  <si>
    <t xml:space="preserve">Reuses multiply_status on yourself. PLAYTEST: huge with Bloodlust</t>
  </si>
  <si>
    <t xml:space="preserve">R10</t>
  </si>
  <si>
    <t xml:space="preserve">Earthshaker</t>
  </si>
  <si>
    <t xml:space="preserve">Deal 16 damage to ALL enemies.</t>
  </si>
  <si>
    <t xml:space="preserve">Deal 21 damage to ALL enemies.</t>
  </si>
  <si>
    <t xml:space="preserve">R11</t>
  </si>
  <si>
    <t xml:space="preserve">Unrelenting</t>
  </si>
  <si>
    <t xml:space="preserve">Deal 12 damage. Gain 2 Strength.</t>
  </si>
  <si>
    <t xml:space="preserve">Deal 16 damage. Gain 2 Strength.</t>
  </si>
  <si>
    <t xml:space="preserve">R12</t>
  </si>
  <si>
    <t xml:space="preserve">Barricade</t>
  </si>
  <si>
    <t xml:space="preserve">Your block is no longer removed at the start of your turn.</t>
  </si>
  <si>
    <t xml:space="preserve">Costs 2. Your block is no longer removed at the start of your turn.</t>
  </si>
  <si>
    <t xml:space="preserve">NEW power: barricade. PLAYTEST: can make you unkillable</t>
  </si>
  <si>
    <t xml:space="preserve">R13</t>
  </si>
  <si>
    <t xml:space="preserve">Impervious</t>
  </si>
  <si>
    <t xml:space="preserve">Gain 20 block. Exhaust.</t>
  </si>
  <si>
    <t xml:space="preserve">Gain 27 block. Exhaust.</t>
  </si>
  <si>
    <t xml:space="preserve">R14</t>
  </si>
  <si>
    <t xml:space="preserve">Tactical Guard</t>
  </si>
  <si>
    <t xml:space="preserve">Gain 10 block. Draw 2 cards.</t>
  </si>
  <si>
    <t xml:space="preserve">Gain 13 block. Draw 2 cards.</t>
  </si>
  <si>
    <t xml:space="preserve">R15</t>
  </si>
  <si>
    <t xml:space="preserve">Pandemic</t>
  </si>
  <si>
    <t xml:space="preserve">Apply 2 Poison to ALL enemies, then double every enemy's Poison.</t>
  </si>
  <si>
    <t xml:space="preserve">Apply 4 Poison to ALL enemies, then double every enemy's Poison.</t>
  </si>
  <si>
    <t xml:space="preserve">Reuses multiply_status on ALL enemies. PLAYTEST</t>
  </si>
  <si>
    <t xml:space="preserve">R16</t>
  </si>
  <si>
    <t xml:space="preserve">Malignancy</t>
  </si>
  <si>
    <t xml:space="preserve">Whenever you apply Poison, apply 1 more.</t>
  </si>
  <si>
    <t xml:space="preserve">Costs 0. Whenever you apply Poison, apply 1 more.</t>
  </si>
  <si>
    <t xml:space="preserve">NEW power: poison_boost. PLAYTEST</t>
  </si>
  <si>
    <t xml:space="preserve">R17</t>
  </si>
  <si>
    <t xml:space="preserve">Venomous Strike</t>
  </si>
  <si>
    <t xml:space="preserve">Deal 10 damage. Apply 6 Poison.</t>
  </si>
  <si>
    <t xml:space="preserve">Deal 13 damage. Apply 8 Poison.</t>
  </si>
  <si>
    <t xml:space="preserve">R18</t>
  </si>
  <si>
    <t xml:space="preserve">Wither</t>
  </si>
  <si>
    <t xml:space="preserve">Apply 12 Poison.</t>
  </si>
  <si>
    <t xml:space="preserve">Apply 16 Poison.</t>
  </si>
  <si>
    <t xml:space="preserve">R19</t>
  </si>
  <si>
    <t xml:space="preserve">Master Plan</t>
  </si>
  <si>
    <t xml:space="preserve">At the end of your turn, keep your hand (Retain every card).</t>
  </si>
  <si>
    <t xml:space="preserve">Costs 0. At the end of your turn, keep your hand (Retain every card).</t>
  </si>
  <si>
    <t xml:space="preserve">NEW power: retain_hand. PLAYTEST</t>
  </si>
  <si>
    <t xml:space="preserve">R20</t>
  </si>
  <si>
    <t xml:space="preserve">Mind Games</t>
  </si>
  <si>
    <t xml:space="preserve">Apply 3 Weak and 3 Vulnerable. Exhaust.</t>
  </si>
  <si>
    <t xml:space="preserve">Apply 4 Weak and 4 Vulnerable. Exhaust.</t>
  </si>
  <si>
    <t xml:space="preserve">R21</t>
  </si>
  <si>
    <t xml:space="preserve">Battle Plan</t>
  </si>
  <si>
    <t xml:space="preserve">Draw 4 cards. Retain.</t>
  </si>
  <si>
    <t xml:space="preserve">R22</t>
  </si>
  <si>
    <t xml:space="preserve">Exploit Weakness</t>
  </si>
  <si>
    <t xml:space="preserve">Deal 8 damage. If the enemy is Vulnerable, deal 8 more.</t>
  </si>
  <si>
    <t xml:space="preserve">Deal 11 damage. If the enemy is Vulnerable, deal 11 more.</t>
  </si>
  <si>
    <t xml:space="preserve">Uses bonus_if_status. Other: conditional 8 damage (~5)</t>
  </si>
  <si>
    <t xml:space="preserve">L01</t>
  </si>
  <si>
    <t xml:space="preserve">Avatar of Rage</t>
  </si>
  <si>
    <t xml:space="preserve">Legendary</t>
  </si>
  <si>
    <t xml:space="preserve">Unique. Your Attacks deal double damage. At the start of your turn, lose 2 HP.</t>
  </si>
  <si>
    <t xml:space="preserve">Unique. Costs 1. Your Attacks deal double damage. At the start of your turn, lose 2 HP.</t>
  </si>
  <si>
    <t xml:space="preserve">NEW power: double_attack_damage + hp loss per turn. PLAYTEST</t>
  </si>
  <si>
    <t xml:space="preserve">L02</t>
  </si>
  <si>
    <t xml:space="preserve">Echo Strike</t>
  </si>
  <si>
    <t xml:space="preserve">Unique. Your next Attack this turn is played twice.</t>
  </si>
  <si>
    <t xml:space="preserve">Unique. Costs 0. Your next Attack this turn is played twice.</t>
  </si>
  <si>
    <t xml:space="preserve">NEW: echo_next_attack. PLAYTEST</t>
  </si>
  <si>
    <t xml:space="preserve">L03</t>
  </si>
  <si>
    <t xml:space="preserve">Unbreakable</t>
  </si>
  <si>
    <t xml:space="preserve">Unique. Gain 12 block. You take no damage until your next turn. Exhaust.</t>
  </si>
  <si>
    <t xml:space="preserve">Unique. Gain 16 block. You take no damage until your next turn. Exhaust.</t>
  </si>
  <si>
    <t xml:space="preserve">NEW keyword: Invulnerable. PLAYTEST</t>
  </si>
  <si>
    <t xml:space="preserve">L04</t>
  </si>
  <si>
    <t xml:space="preserve">Eternal Bulwark</t>
  </si>
  <si>
    <t xml:space="preserve">Unique. Your block is no longer removed. At the start of your turn, gain 5 block.</t>
  </si>
  <si>
    <t xml:space="preserve">Unique. Your block is no longer removed. At the start of your turn, gain 8 block.</t>
  </si>
  <si>
    <t xml:space="preserve">Uses barricade + Iron Skin. PLAYTEST</t>
  </si>
  <si>
    <t xml:space="preserve">L05</t>
  </si>
  <si>
    <t xml:space="preserve">Heart of the Hydra</t>
  </si>
  <si>
    <t xml:space="preserve">Unique. Poison on enemies no longer goes down.</t>
  </si>
  <si>
    <t xml:space="preserve">Unique. Costs 1. Poison on enemies no longer goes down.</t>
  </si>
  <si>
    <t xml:space="preserve">NEW power: poison_no_decay. PLAYTEST</t>
  </si>
  <si>
    <t xml:space="preserve">L06</t>
  </si>
  <si>
    <t xml:space="preserve">Plaguebearer's Kiss</t>
  </si>
  <si>
    <t xml:space="preserve">Unique. Deal 5 damage. Apply 5 Poison, then triple the enemy's Poison.</t>
  </si>
  <si>
    <t xml:space="preserve">Unique. Deal 7 damage. Apply 7 Poison, then triple the enemy's Poison.</t>
  </si>
  <si>
    <t xml:space="preserve">Reuses multiply_status. PLAYTEST</t>
  </si>
  <si>
    <t xml:space="preserve">L07</t>
  </si>
  <si>
    <t xml:space="preserve">Chronomancer's Hourglass</t>
  </si>
  <si>
    <t xml:space="preserve">Unique. Take an extra turn after this one. Exhaust.</t>
  </si>
  <si>
    <t xml:space="preserve">Unique. Costs 1. Take an extra turn after this one. Exhaust.</t>
  </si>
  <si>
    <t xml:space="preserve">NEW: extra_turn. PLAYTEST</t>
  </si>
  <si>
    <t xml:space="preserve">L08</t>
  </si>
  <si>
    <t xml:space="preserve">Grand Strategist</t>
  </si>
  <si>
    <t xml:space="preserve">Unique. At the start of your turn, gain 1 energy and draw 1 extra card.</t>
  </si>
  <si>
    <t xml:space="preserve">Unique. Costs 1. At the start of your turn, gain 1 energy and draw 1 extra card.</t>
  </si>
  <si>
    <t xml:space="preserve">Uses Berserker Rage + draw_per_turn</t>
  </si>
  <si>
    <t xml:space="preserve">Set Summary</t>
  </si>
  <si>
    <t xml:space="preserve">Total</t>
  </si>
  <si>
    <t xml:space="preserve">Balance status</t>
  </si>
  <si>
    <t xml:space="preserve">Balanced</t>
  </si>
  <si>
    <t xml:space="preserve">Over budget</t>
  </si>
  <si>
    <t xml:space="preserve">Under budget</t>
  </si>
  <si>
    <t xml:space="preserve">Starter (under on purpose)</t>
  </si>
  <si>
    <t xml:space="preserve">Type (excluding starters)</t>
  </si>
  <si>
    <t xml:space="preserve">Starter deck</t>
  </si>
  <si>
    <t xml:space="preserve">Reward odds per card offered (normal fights)</t>
  </si>
  <si>
    <t xml:space="preserve">Elite and boss rewards</t>
  </si>
  <si>
    <t xml:space="preserve">After an elite or the boss, one of the 3 choices is always a Legendary the player doesn't own (Unique: max 1 copy per deck).</t>
  </si>
  <si>
    <t xml:space="preserve">Keywords (show as tap-to-explain on cards)</t>
  </si>
  <si>
    <t xml:space="preserve">Keyword</t>
  </si>
  <si>
    <t xml:space="preserve">Rule</t>
  </si>
  <si>
    <t xml:space="preserve">Who implements</t>
  </si>
  <si>
    <t xml:space="preserve">Prevents damage. All block is removed at the start of your next turn.</t>
  </si>
  <si>
    <t xml:space="preserve">Role 1</t>
  </si>
  <si>
    <t xml:space="preserve">Restore HP, up to max HP.</t>
  </si>
  <si>
    <t xml:space="preserve">At the start of the poisoned creature's turn, it loses HP equal to its Poison, then Poison goes down by 1.</t>
  </si>
  <si>
    <t xml:space="preserve">Deals 25% less attack damage. Lasts the listed number of turns.</t>
  </si>
  <si>
    <t xml:space="preserve">Vulnerable</t>
  </si>
  <si>
    <t xml:space="preserve">Takes 50% more attack damage. Lasts the listed number of turns.</t>
  </si>
  <si>
    <t xml:space="preserve">Each attack hit deals +1 damage per Strength. Lasts the whole fight.</t>
  </si>
  <si>
    <t xml:space="preserve">Exhaust</t>
  </si>
  <si>
    <t xml:space="preserve">After playing, remove this card from your deck for the rest of the fight (it returns next fight).</t>
  </si>
  <si>
    <t xml:space="preserve">Role 2</t>
  </si>
  <si>
    <t xml:space="preserve">Stays in play for the rest of the fight instead of going to the discard pile.</t>
  </si>
  <si>
    <t xml:space="preserve">ALL enemies</t>
  </si>
  <si>
    <t xml:space="preserve">Hits every enemy in the fight.</t>
  </si>
  <si>
    <t xml:space="preserve">Intent</t>
  </si>
  <si>
    <t xml:space="preserve">Enemies show what they'll do next turn. Some cards (Parry, Rebuke) check it.</t>
  </si>
  <si>
    <t xml:space="preserve">Role 1 + Role 3</t>
  </si>
  <si>
    <t xml:space="preserve">Discard</t>
  </si>
  <si>
    <t xml:space="preserve">Choose a card from your hand to put in the discard pile.</t>
  </si>
  <si>
    <t xml:space="preserve">Role 2 + Role 3</t>
  </si>
  <si>
    <t xml:space="preserve">NEW. This card isn't discarded at the end of your turn; it stays in your hand.</t>
  </si>
  <si>
    <t xml:space="preserve">Unique</t>
  </si>
  <si>
    <t xml:space="preserve">NEW. You can only have one copy of this card in your deck. All Legendaries are Unique.</t>
  </si>
  <si>
    <t xml:space="preserve">Role 2 + Role 4</t>
  </si>
  <si>
    <t xml:space="preserve">Invulnerable</t>
  </si>
  <si>
    <t xml:space="preserve">NEW. You take no damage until your next turn.</t>
  </si>
  <si>
    <t xml:space="preserve">New mechanics in the alpha set (for the code phase)</t>
  </si>
  <si>
    <t xml:space="preserve">Commons and Uncommons use only 7 of these; most are on Rares and Legendaries.</t>
  </si>
  <si>
    <t xml:space="preserve">Mechanic / code op</t>
  </si>
  <si>
    <t xml:space="preserve">What it does</t>
  </si>
  <si>
    <t xml:space="preserve">Cards that use it</t>
  </si>
  <si>
    <t xml:space="preserve">Retain (keyword)</t>
  </si>
  <si>
    <t xml:space="preserve">Card stays in hand at end of turn.</t>
  </si>
  <si>
    <t xml:space="preserve">Torchlight, Hunker Down, Poison Shank, Prepared Strike, Deflect, Stone Skin, Bottled Plague, Battle Rhythm, Momentum, Battle Plan</t>
  </si>
  <si>
    <t xml:space="preserve">Unique (keyword)</t>
  </si>
  <si>
    <t xml:space="preserve">Max one copy per deck; reward generator skips Uniques you own.</t>
  </si>
  <si>
    <t xml:space="preserve">All 8 Legendaries</t>
  </si>
  <si>
    <t xml:space="preserve">Legendary rarity</t>
  </si>
  <si>
    <t xml:space="preserve">+6 budget; 2% reward odds; guaranteed choice after elites/boss.</t>
  </si>
  <si>
    <t xml:space="preserve">damage_equals_block</t>
  </si>
  <si>
    <t xml:space="preserve">Deal damage equal to your current block.</t>
  </si>
  <si>
    <t xml:space="preserve">if_intent on a status</t>
  </si>
  <si>
    <t xml:space="preserve">Apply a status only if the enemy intends to attack.</t>
  </si>
  <si>
    <t xml:space="preserve">energy_next_turn</t>
  </si>
  <si>
    <t xml:space="preserve">Gain energy at the start of your next turn.</t>
  </si>
  <si>
    <t xml:space="preserve">Tactical Retreat, Battle Rhythm</t>
  </si>
  <si>
    <t xml:space="preserve">multiply_block</t>
  </si>
  <si>
    <t xml:space="preserve">Multiply your current block.</t>
  </si>
  <si>
    <t xml:space="preserve">bonus_if_status</t>
  </si>
  <si>
    <t xml:space="preserve">Extra damage if the target has a status.</t>
  </si>
  <si>
    <t xml:space="preserve">Bane (Poison), Exploit Weakness (Vulnerable)</t>
  </si>
  <si>
    <t xml:space="preserve">damage_equals_status</t>
  </si>
  <si>
    <t xml:space="preserve">Deal damage equal to the target's Poison.</t>
  </si>
  <si>
    <t xml:space="preserve">power: draw_per_turn</t>
  </si>
  <si>
    <t xml:space="preserve">Draw extra cards at the start of each turn.</t>
  </si>
  <si>
    <t xml:space="preserve">Map of the Depths, Explorer's Kit, Grand Strategist</t>
  </si>
  <si>
    <t xml:space="preserve">Role 1 + Role 2</t>
  </si>
  <si>
    <t xml:space="preserve">power: strength_per_turn</t>
  </si>
  <si>
    <t xml:space="preserve">Gain Strength at the start of each turn.</t>
  </si>
  <si>
    <t xml:space="preserve">power: barricade</t>
  </si>
  <si>
    <t xml:space="preserve">Block is not removed at the start of your turn.</t>
  </si>
  <si>
    <t xml:space="preserve">Barricade, Eternal Bulwark</t>
  </si>
  <si>
    <t xml:space="preserve">power: poison_boost</t>
  </si>
  <si>
    <t xml:space="preserve">Every time you apply Poison, apply extra.</t>
  </si>
  <si>
    <t xml:space="preserve">power: retain_hand</t>
  </si>
  <si>
    <t xml:space="preserve">Keep your whole hand at end of turn.</t>
  </si>
  <si>
    <t xml:space="preserve">power: double_attack_damage</t>
  </si>
  <si>
    <t xml:space="preserve">Attack damage is doubled; lose HP each turn.</t>
  </si>
  <si>
    <t xml:space="preserve">echo_next_attack</t>
  </si>
  <si>
    <t xml:space="preserve">Your next Attack this turn is played twice.</t>
  </si>
  <si>
    <t xml:space="preserve">Invulnerable (keyword)</t>
  </si>
  <si>
    <t xml:space="preserve">Take no damage until your next turn.</t>
  </si>
  <si>
    <t xml:space="preserve">power: poison_no_decay</t>
  </si>
  <si>
    <t xml:space="preserve">Poison on enemies stops going down.</t>
  </si>
  <si>
    <t xml:space="preserve">extra_turn</t>
  </si>
  <si>
    <t xml:space="preserve">Take another turn after this one.</t>
  </si>
  <si>
    <t xml:space="preserve">Reused existing effects</t>
  </si>
  <si>
    <t xml:space="preserve">No new code: multiply_status (Limit Break, Pandemic, Plaguebearer's Kiss), random_enemy target (Wild Swing), Black Plague at a lower amount (Toxic Aura), Iron Skin/Berserker Rage on new Powers.</t>
  </si>
  <si>
    <t xml:space="preserve">Several</t>
  </si>
  <si>
    <t xml:space="preserve">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</si>
</sst>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3B2F5C"/>
        <bgColor rgb="FF333399"/>
      </patternFill>
    </fill>
    <fill>
      <patternFill patternType="solid">
        <fgColor rgb="FFFCE4D6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B2F5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CE4D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3" t="s">
        <v>12</v>
      </c>
    </row>
    <row r="2" customFormat="false" ht="15" hidden="false" customHeight="false" outlineLevel="0" collapsed="false">
      <c r="A2" s="4" t="s">
        <v>13</v>
      </c>
    </row>
    <row r="4" customFormat="false" ht="15" hidden="false" customHeight="false" outlineLevel="0" collapsed="false">
      <c r="A4" s="5" t="s">
        <v>14</v>
      </c>
    </row>
    <row r="5" customFormat="false" ht="15" hidden="false" customHeight="false" outlineLevel="0" collapsed="false">
      <c r="A5" s="6" t="s">
        <v>15</v>
      </c>
      <c r="B5" s="7" t="n">
        <v>70</v>
      </c>
      <c r="C5" s="8" t="s">
        <v>16</v>
      </c>
    </row>
    <row r="6" customFormat="false" ht="15" hidden="false" customHeight="false" outlineLevel="0" collapsed="false">
      <c r="A6" s="6" t="s">
        <v>17</v>
      </c>
      <c r="B6" s="7" t="n">
        <v>3</v>
      </c>
      <c r="C6" s="8"/>
    </row>
    <row r="7" customFormat="false" ht="15" hidden="false" customHeight="false" outlineLevel="0" collapsed="false">
      <c r="A7" s="6" t="s">
        <v>18</v>
      </c>
      <c r="B7" s="7" t="n">
        <v>5</v>
      </c>
      <c r="C7" s="8"/>
    </row>
    <row r="8" customFormat="false" ht="15" hidden="false" customHeight="false" outlineLevel="0" collapsed="false">
      <c r="A8" s="6" t="s">
        <v>19</v>
      </c>
      <c r="B8" s="7" t="n">
        <v>10</v>
      </c>
      <c r="C8" s="8" t="s">
        <v>20</v>
      </c>
    </row>
    <row r="9" customFormat="false" ht="15" hidden="false" customHeight="false" outlineLevel="0" collapsed="false">
      <c r="A9" s="6" t="s">
        <v>21</v>
      </c>
      <c r="B9" s="7" t="n">
        <v>12</v>
      </c>
      <c r="C9" s="8" t="s">
        <v>22</v>
      </c>
    </row>
    <row r="10" customFormat="false" ht="15" hidden="false" customHeight="false" outlineLevel="0" collapsed="false">
      <c r="A10" s="6" t="s">
        <v>23</v>
      </c>
      <c r="B10" s="7" t="n">
        <v>25</v>
      </c>
      <c r="C10" s="8"/>
    </row>
    <row r="11" customFormat="false" ht="15" hidden="false" customHeight="false" outlineLevel="0" collapsed="false">
      <c r="A11" s="6" t="s">
        <v>24</v>
      </c>
      <c r="B11" s="7" t="n">
        <v>40</v>
      </c>
      <c r="C11" s="8"/>
    </row>
    <row r="12" customFormat="false" ht="15" hidden="false" customHeight="false" outlineLevel="0" collapsed="false">
      <c r="A12" s="6" t="s">
        <v>25</v>
      </c>
      <c r="B12" s="7" t="n">
        <v>60</v>
      </c>
      <c r="C12" s="8"/>
    </row>
    <row r="13" customFormat="false" ht="15" hidden="false" customHeight="false" outlineLevel="0" collapsed="false">
      <c r="A13" s="6" t="s">
        <v>26</v>
      </c>
      <c r="B13" s="7" t="n">
        <v>130</v>
      </c>
      <c r="C13" s="8" t="s">
        <v>27</v>
      </c>
    </row>
    <row r="15" customFormat="false" ht="15" hidden="false" customHeight="false" outlineLevel="0" collapsed="false">
      <c r="A15" s="5" t="s">
        <v>28</v>
      </c>
    </row>
    <row r="16" customFormat="false" ht="15" hidden="false" customHeight="false" outlineLevel="0" collapsed="false">
      <c r="A16" s="6" t="s">
        <v>29</v>
      </c>
      <c r="B16" s="7" t="n">
        <v>6</v>
      </c>
      <c r="C16" s="8" t="s">
        <v>30</v>
      </c>
    </row>
    <row r="17" customFormat="false" ht="15" hidden="false" customHeight="false" outlineLevel="0" collapsed="false">
      <c r="A17" s="6" t="s">
        <v>31</v>
      </c>
      <c r="B17" s="7" t="n">
        <v>3</v>
      </c>
      <c r="C17" s="8" t="s">
        <v>32</v>
      </c>
    </row>
    <row r="18" customFormat="false" ht="15" hidden="false" customHeight="false" outlineLevel="0" collapsed="false">
      <c r="A18" s="6" t="s">
        <v>33</v>
      </c>
      <c r="B18" s="7" t="n">
        <v>0</v>
      </c>
      <c r="C18" s="8"/>
    </row>
    <row r="19" customFormat="false" ht="15" hidden="false" customHeight="false" outlineLevel="0" collapsed="false">
      <c r="A19" s="6" t="s">
        <v>34</v>
      </c>
      <c r="B19" s="7" t="n">
        <v>2</v>
      </c>
      <c r="C19" s="8"/>
    </row>
    <row r="20" customFormat="false" ht="15" hidden="false" customHeight="false" outlineLevel="0" collapsed="false">
      <c r="A20" s="6" t="s">
        <v>35</v>
      </c>
      <c r="B20" s="7" t="n">
        <v>4</v>
      </c>
      <c r="C20" s="8"/>
    </row>
    <row r="21" customFormat="false" ht="15" hidden="false" customHeight="false" outlineLevel="0" collapsed="false">
      <c r="A21" s="6" t="s">
        <v>36</v>
      </c>
      <c r="B21" s="7" t="n">
        <v>6</v>
      </c>
      <c r="C21" s="8" t="s">
        <v>37</v>
      </c>
    </row>
    <row r="22" customFormat="false" ht="15" hidden="false" customHeight="false" outlineLevel="0" collapsed="false">
      <c r="A22" s="6" t="s">
        <v>38</v>
      </c>
      <c r="B22" s="7" t="n">
        <v>1.3</v>
      </c>
      <c r="C22" s="8" t="s">
        <v>39</v>
      </c>
    </row>
    <row r="23" customFormat="false" ht="15" hidden="false" customHeight="false" outlineLevel="0" collapsed="false">
      <c r="A23" s="6" t="s">
        <v>40</v>
      </c>
      <c r="B23" s="7" t="n">
        <v>2</v>
      </c>
      <c r="C23" s="8" t="s">
        <v>41</v>
      </c>
    </row>
    <row r="24" customFormat="false" ht="15" hidden="false" customHeight="false" outlineLevel="0" collapsed="false">
      <c r="A24" s="6" t="s">
        <v>42</v>
      </c>
      <c r="B24" s="7" t="n">
        <v>1.5</v>
      </c>
      <c r="C24" s="8" t="s">
        <v>43</v>
      </c>
    </row>
    <row r="25" customFormat="false" ht="15" hidden="false" customHeight="false" outlineLevel="0" collapsed="false">
      <c r="A25" s="6" t="s">
        <v>44</v>
      </c>
      <c r="B25" s="7" t="n">
        <v>1.5</v>
      </c>
      <c r="C25" s="8" t="s">
        <v>45</v>
      </c>
    </row>
    <row r="27" customFormat="false" ht="15" hidden="false" customHeight="false" outlineLevel="0" collapsed="false">
      <c r="A27" s="5" t="s">
        <v>46</v>
      </c>
    </row>
    <row r="28" customFormat="false" ht="15" hidden="false" customHeight="false" outlineLevel="0" collapsed="false">
      <c r="A28" s="6" t="s">
        <v>47</v>
      </c>
      <c r="B28" s="7" t="n">
        <v>1</v>
      </c>
      <c r="C28" s="8"/>
    </row>
    <row r="29" customFormat="false" ht="15" hidden="false" customHeight="false" outlineLevel="0" collapsed="false">
      <c r="A29" s="6" t="s">
        <v>48</v>
      </c>
      <c r="B29" s="7" t="n">
        <v>1.2</v>
      </c>
      <c r="C29" s="8" t="s">
        <v>49</v>
      </c>
    </row>
    <row r="30" customFormat="false" ht="15" hidden="false" customHeight="false" outlineLevel="0" collapsed="false">
      <c r="A30" s="6" t="s">
        <v>50</v>
      </c>
      <c r="B30" s="7" t="n">
        <v>1.5</v>
      </c>
      <c r="C30" s="8" t="s">
        <v>51</v>
      </c>
    </row>
    <row r="31" customFormat="false" ht="15" hidden="false" customHeight="false" outlineLevel="0" collapsed="false">
      <c r="A31" s="6" t="s">
        <v>52</v>
      </c>
      <c r="B31" s="7" t="n">
        <v>4</v>
      </c>
      <c r="C31" s="8"/>
    </row>
    <row r="32" customFormat="false" ht="15" hidden="false" customHeight="false" outlineLevel="0" collapsed="false">
      <c r="A32" s="6" t="s">
        <v>53</v>
      </c>
      <c r="B32" s="7" t="n">
        <v>6</v>
      </c>
      <c r="C32" s="8" t="s">
        <v>54</v>
      </c>
    </row>
    <row r="33" customFormat="false" ht="15" hidden="false" customHeight="false" outlineLevel="0" collapsed="false">
      <c r="A33" s="6" t="s">
        <v>55</v>
      </c>
      <c r="B33" s="7" t="n">
        <v>3</v>
      </c>
      <c r="C33" s="8" t="s">
        <v>56</v>
      </c>
    </row>
    <row r="34" customFormat="false" ht="15" hidden="false" customHeight="false" outlineLevel="0" collapsed="false">
      <c r="A34" s="6" t="s">
        <v>57</v>
      </c>
      <c r="B34" s="7" t="n">
        <v>3</v>
      </c>
      <c r="C34" s="8" t="s">
        <v>58</v>
      </c>
    </row>
    <row r="35" customFormat="false" ht="15" hidden="false" customHeight="false" outlineLevel="0" collapsed="false">
      <c r="A35" s="6" t="s">
        <v>59</v>
      </c>
      <c r="B35" s="7" t="n">
        <v>1.5</v>
      </c>
      <c r="C35" s="8"/>
    </row>
    <row r="36" customFormat="false" ht="15" hidden="false" customHeight="false" outlineLevel="0" collapsed="false">
      <c r="A36" s="6" t="s">
        <v>60</v>
      </c>
      <c r="B36" s="7" t="n">
        <v>4</v>
      </c>
      <c r="C36" s="8" t="s">
        <v>61</v>
      </c>
    </row>
    <row r="37" customFormat="false" ht="15" hidden="false" customHeight="false" outlineLevel="0" collapsed="false">
      <c r="A37" s="6" t="s">
        <v>62</v>
      </c>
      <c r="B37" s="7" t="n">
        <v>1.5</v>
      </c>
      <c r="C37" s="8" t="s">
        <v>63</v>
      </c>
    </row>
    <row r="38" customFormat="false" ht="15" hidden="false" customHeight="false" outlineLevel="0" collapsed="false">
      <c r="A38" s="6" t="s">
        <v>64</v>
      </c>
      <c r="B38" s="7" t="n">
        <v>2</v>
      </c>
      <c r="C38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8" min="7" style="0" width="42"/>
    <col collapsed="false" customWidth="true" hidden="false" outlineLevel="0" max="24" min="9" style="0" width="8"/>
    <col collapsed="false" customWidth="true" hidden="false" outlineLevel="0" max="25" min="25" style="0" width="36"/>
    <col collapsed="false" customWidth="true" hidden="false" outlineLevel="0" max="27" min="26" style="0" width="8"/>
    <col collapsed="false" customWidth="true" hidden="false" outlineLevel="0" max="28" min="28" style="0" width="10"/>
    <col collapsed="false" customWidth="true" hidden="false" outlineLevel="0" max="29" min="29" style="0" width="22"/>
  </cols>
  <sheetData>
    <row r="1" customFormat="false" ht="31.5" hidden="false" customHeight="tru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47</v>
      </c>
      <c r="J1" s="9" t="s">
        <v>74</v>
      </c>
      <c r="K1" s="9" t="s">
        <v>48</v>
      </c>
      <c r="L1" s="9" t="s">
        <v>50</v>
      </c>
      <c r="M1" s="9" t="s">
        <v>52</v>
      </c>
      <c r="N1" s="9" t="s">
        <v>53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  <c r="T1" s="9" t="s">
        <v>80</v>
      </c>
      <c r="U1" s="9" t="s">
        <v>81</v>
      </c>
      <c r="V1" s="9" t="s">
        <v>82</v>
      </c>
      <c r="W1" s="9" t="s">
        <v>83</v>
      </c>
      <c r="X1" s="9" t="s">
        <v>84</v>
      </c>
      <c r="Y1" s="9" t="s">
        <v>85</v>
      </c>
      <c r="Z1" s="9" t="s">
        <v>86</v>
      </c>
      <c r="AA1" s="9" t="s">
        <v>87</v>
      </c>
      <c r="AB1" s="9" t="s">
        <v>88</v>
      </c>
    </row>
    <row r="2" customFormat="false" ht="39.55" hidden="false" customHeight="false" outlineLevel="0" collapsed="false">
      <c r="A2" s="10" t="s">
        <v>89</v>
      </c>
      <c r="B2" s="10" t="s">
        <v>90</v>
      </c>
      <c r="C2" s="10" t="s">
        <v>91</v>
      </c>
      <c r="D2" s="10" t="n">
        <v>1</v>
      </c>
      <c r="E2" s="10" t="s">
        <v>92</v>
      </c>
      <c r="F2" s="10" t="s">
        <v>93</v>
      </c>
      <c r="G2" s="11" t="s">
        <v>94</v>
      </c>
      <c r="H2" s="11" t="s">
        <v>95</v>
      </c>
      <c r="I2" s="12" t="n">
        <v>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1" t="s">
        <v>96</v>
      </c>
      <c r="Y2" s="10" t="n">
        <f aca="false">ROUND((I2*Rules!$B$28+J2*Rules!$B$28*Rules!$B$24+K2*Rules!$B$29+L2*Rules!$B$30+M2*Rules!$B$31+N2*Rules!$B$32+(O2*Rules!$B$33+P2*Rules!$B$34+Q2*Rules!$B$35)*IF(R2="Y",Rules!$B$24,1)+S2*Rules!$B$36-T2*Rules!$B$37+IF(V2="Y",Rules!$B$38,0)+W2)*IF(C2="Power",Rules!$B$23,1),2)</f>
        <v>6</v>
      </c>
      <c r="Z2" s="10" t="n">
        <f aca="false">ROUND((D2*Rules!$B$16+Rules!$B$17+IF(E2="Legendary",Rules!$B$21,IF(E2="Rare",Rules!$B$20,IF(E2="Uncommon",Rules!$B$19,Rules!$B$18))))*IF(U2="Y",Rules!$B$22,1),2)</f>
        <v>9</v>
      </c>
      <c r="AA2" s="10" t="n">
        <f aca="false">Y2-Z2</f>
        <v>-3</v>
      </c>
      <c r="AB2" s="10" t="str">
        <f aca="false">IF(E2="Starter",IF(AA2&lt;0,"Starter (under on purpose)","Starter too strong"),IF(ABS(AA2)&lt;=Rules!$B$25,"Balanced",IF(AA2&gt;0,"Over budget","Under budget")))</f>
        <v>Starter (under on purpose)</v>
      </c>
    </row>
    <row r="3" customFormat="false" ht="39.55" hidden="false" customHeight="false" outlineLevel="0" collapsed="false">
      <c r="A3" s="10" t="s">
        <v>97</v>
      </c>
      <c r="B3" s="10" t="s">
        <v>98</v>
      </c>
      <c r="C3" s="10" t="s">
        <v>99</v>
      </c>
      <c r="D3" s="10" t="n">
        <v>1</v>
      </c>
      <c r="E3" s="10" t="s">
        <v>92</v>
      </c>
      <c r="F3" s="10" t="s">
        <v>93</v>
      </c>
      <c r="G3" s="11" t="s">
        <v>100</v>
      </c>
      <c r="H3" s="11" t="s">
        <v>101</v>
      </c>
      <c r="I3" s="12"/>
      <c r="J3" s="12"/>
      <c r="K3" s="12" t="n">
        <v>5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1" t="s">
        <v>102</v>
      </c>
      <c r="Y3" s="10" t="n">
        <f aca="false">ROUND((I3*Rules!$B$28+J3*Rules!$B$28*Rules!$B$24+K3*Rules!$B$29+L3*Rules!$B$30+M3*Rules!$B$31+N3*Rules!$B$32+(O3*Rules!$B$33+P3*Rules!$B$34+Q3*Rules!$B$35)*IF(R3="Y",Rules!$B$24,1)+S3*Rules!$B$36-T3*Rules!$B$37+IF(V3="Y",Rules!$B$38,0)+W3)*IF(C3="Power",Rules!$B$23,1),2)</f>
        <v>6</v>
      </c>
      <c r="Z3" s="10" t="n">
        <f aca="false">ROUND((D3*Rules!$B$16+Rules!$B$17+IF(E3="Legendary",Rules!$B$21,IF(E3="Rare",Rules!$B$20,IF(E3="Uncommon",Rules!$B$19,Rules!$B$18))))*IF(U3="Y",Rules!$B$22,1),2)</f>
        <v>9</v>
      </c>
      <c r="AA3" s="10" t="n">
        <f aca="false">Y3-Z3</f>
        <v>-3</v>
      </c>
      <c r="AB3" s="10" t="str">
        <f aca="false">IF(E3="Starter",IF(AA3&lt;0,"Starter (under on purpose)","Starter too strong"),IF(ABS(AA3)&lt;=Rules!$B$25,"Balanced",IF(AA3&gt;0,"Over budget","Under budget")))</f>
        <v>Starter (under on purpose)</v>
      </c>
    </row>
    <row r="4" customFormat="false" ht="64.9" hidden="false" customHeight="false" outlineLevel="0" collapsed="false">
      <c r="A4" s="10" t="s">
        <v>103</v>
      </c>
      <c r="B4" s="10" t="s">
        <v>104</v>
      </c>
      <c r="C4" s="10" t="s">
        <v>91</v>
      </c>
      <c r="D4" s="10" t="n">
        <v>1</v>
      </c>
      <c r="E4" s="10" t="s">
        <v>92</v>
      </c>
      <c r="F4" s="10" t="s">
        <v>93</v>
      </c>
      <c r="G4" s="11" t="s">
        <v>105</v>
      </c>
      <c r="H4" s="11" t="s">
        <v>106</v>
      </c>
      <c r="I4" s="12" t="n">
        <v>5</v>
      </c>
      <c r="J4" s="12"/>
      <c r="K4" s="12"/>
      <c r="L4" s="12"/>
      <c r="M4" s="12"/>
      <c r="N4" s="12"/>
      <c r="O4" s="12"/>
      <c r="P4" s="12" t="n">
        <v>1</v>
      </c>
      <c r="Q4" s="12"/>
      <c r="R4" s="12"/>
      <c r="S4" s="12"/>
      <c r="T4" s="12"/>
      <c r="U4" s="12"/>
      <c r="V4" s="12"/>
      <c r="W4" s="12"/>
      <c r="X4" s="11" t="s">
        <v>107</v>
      </c>
      <c r="Y4" s="10" t="n">
        <f aca="false">ROUND((I4*Rules!$B$28+J4*Rules!$B$28*Rules!$B$24+K4*Rules!$B$29+L4*Rules!$B$30+M4*Rules!$B$31+N4*Rules!$B$32+(O4*Rules!$B$33+P4*Rules!$B$34+Q4*Rules!$B$35)*IF(R4="Y",Rules!$B$24,1)+S4*Rules!$B$36-T4*Rules!$B$37+IF(V4="Y",Rules!$B$38,0)+W4)*IF(C4="Power",Rules!$B$23,1),2)</f>
        <v>8</v>
      </c>
      <c r="Z4" s="10" t="n">
        <f aca="false">ROUND((D4*Rules!$B$16+Rules!$B$17+IF(E4="Legendary",Rules!$B$21,IF(E4="Rare",Rules!$B$20,IF(E4="Uncommon",Rules!$B$19,Rules!$B$18))))*IF(U4="Y",Rules!$B$22,1),2)</f>
        <v>9</v>
      </c>
      <c r="AA4" s="10" t="n">
        <f aca="false">Y4-Z4</f>
        <v>-1</v>
      </c>
      <c r="AB4" s="10" t="str">
        <f aca="false">IF(E4="Starter",IF(AA4&lt;0,"Starter (under on purpose)","Starter too strong"),IF(ABS(AA4)&lt;=Rules!$B$25,"Balanced",IF(AA4&gt;0,"Over budget","Under budget")))</f>
        <v>Starter (under on purpose)</v>
      </c>
    </row>
    <row r="5" customFormat="false" ht="15" hidden="false" customHeight="false" outlineLevel="0" collapsed="false">
      <c r="A5" s="10" t="s">
        <v>108</v>
      </c>
      <c r="B5" s="10" t="s">
        <v>109</v>
      </c>
      <c r="C5" s="10" t="s">
        <v>91</v>
      </c>
      <c r="D5" s="10" t="n">
        <v>1</v>
      </c>
      <c r="E5" s="10" t="s">
        <v>110</v>
      </c>
      <c r="F5" s="10" t="s">
        <v>93</v>
      </c>
      <c r="G5" s="11" t="s">
        <v>95</v>
      </c>
      <c r="H5" s="11" t="s">
        <v>111</v>
      </c>
      <c r="I5" s="12" t="n">
        <v>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1"/>
      <c r="Y5" s="10" t="n">
        <f aca="false">ROUND((I5*Rules!$B$28+J5*Rules!$B$28*Rules!$B$24+K5*Rules!$B$29+L5*Rules!$B$30+M5*Rules!$B$31+N5*Rules!$B$32+(O5*Rules!$B$33+P5*Rules!$B$34+Q5*Rules!$B$35)*IF(R5="Y",Rules!$B$24,1)+S5*Rules!$B$36-T5*Rules!$B$37+IF(V5="Y",Rules!$B$38,0)+W5)*IF(C5="Power",Rules!$B$23,1),2)</f>
        <v>9</v>
      </c>
      <c r="Z5" s="10" t="n">
        <f aca="false">ROUND((D5*Rules!$B$16+Rules!$B$17+IF(E5="Legendary",Rules!$B$21,IF(E5="Rare",Rules!$B$20,IF(E5="Uncommon",Rules!$B$19,Rules!$B$18))))*IF(U5="Y",Rules!$B$22,1),2)</f>
        <v>9</v>
      </c>
      <c r="AA5" s="10" t="n">
        <f aca="false">Y5-Z5</f>
        <v>0</v>
      </c>
      <c r="AB5" s="10" t="str">
        <f aca="false">IF(E5="Starter",IF(AA5&lt;0,"Starter (under on purpose)","Starter too strong"),IF(ABS(AA5)&lt;=Rules!$B$25,"Balanced",IF(AA5&gt;0,"Over budget","Under budget")))</f>
        <v>Balanced</v>
      </c>
    </row>
    <row r="6" customFormat="false" ht="77.6" hidden="false" customHeight="false" outlineLevel="0" collapsed="false">
      <c r="A6" s="10" t="s">
        <v>112</v>
      </c>
      <c r="B6" s="10" t="s">
        <v>113</v>
      </c>
      <c r="C6" s="10" t="s">
        <v>91</v>
      </c>
      <c r="D6" s="10" t="n">
        <v>0</v>
      </c>
      <c r="E6" s="10" t="s">
        <v>110</v>
      </c>
      <c r="F6" s="10" t="s">
        <v>114</v>
      </c>
      <c r="G6" s="11" t="s">
        <v>115</v>
      </c>
      <c r="H6" s="11" t="s">
        <v>116</v>
      </c>
      <c r="I6" s="12" t="n">
        <v>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1" t="s">
        <v>117</v>
      </c>
      <c r="Y6" s="10" t="n">
        <f aca="false">ROUND((I6*Rules!$B$28+J6*Rules!$B$28*Rules!$B$24+K6*Rules!$B$29+L6*Rules!$B$30+M6*Rules!$B$31+N6*Rules!$B$32+(O6*Rules!$B$33+P6*Rules!$B$34+Q6*Rules!$B$35)*IF(R6="Y",Rules!$B$24,1)+S6*Rules!$B$36-T6*Rules!$B$37+IF(V6="Y",Rules!$B$38,0)+W6)*IF(C6="Power",Rules!$B$23,1),2)</f>
        <v>3</v>
      </c>
      <c r="Z6" s="10" t="n">
        <f aca="false">ROUND((D6*Rules!$B$16+Rules!$B$17+IF(E6="Legendary",Rules!$B$21,IF(E6="Rare",Rules!$B$20,IF(E6="Uncommon",Rules!$B$19,Rules!$B$18))))*IF(U6="Y",Rules!$B$22,1),2)</f>
        <v>3</v>
      </c>
      <c r="AA6" s="10" t="n">
        <f aca="false">Y6-Z6</f>
        <v>0</v>
      </c>
      <c r="AB6" s="10" t="str">
        <f aca="false">IF(E6="Starter",IF(AA6&lt;0,"Starter (under on purpose)","Starter too strong"),IF(ABS(AA6)&lt;=Rules!$B$25,"Balanced",IF(AA6&gt;0,"Over budget","Under budget")))</f>
        <v>Balanced</v>
      </c>
    </row>
    <row r="7" customFormat="false" ht="15" hidden="false" customHeight="false" outlineLevel="0" collapsed="false">
      <c r="A7" s="10" t="s">
        <v>118</v>
      </c>
      <c r="B7" s="10" t="s">
        <v>119</v>
      </c>
      <c r="C7" s="10" t="s">
        <v>91</v>
      </c>
      <c r="D7" s="10" t="n">
        <v>1</v>
      </c>
      <c r="E7" s="10" t="s">
        <v>110</v>
      </c>
      <c r="F7" s="10" t="s">
        <v>93</v>
      </c>
      <c r="G7" s="11" t="s">
        <v>120</v>
      </c>
      <c r="H7" s="11" t="s">
        <v>121</v>
      </c>
      <c r="I7" s="12"/>
      <c r="J7" s="12" t="n">
        <v>6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1"/>
      <c r="Y7" s="10" t="n">
        <f aca="false">ROUND((I7*Rules!$B$28+J7*Rules!$B$28*Rules!$B$24+K7*Rules!$B$29+L7*Rules!$B$30+M7*Rules!$B$31+N7*Rules!$B$32+(O7*Rules!$B$33+P7*Rules!$B$34+Q7*Rules!$B$35)*IF(R7="Y",Rules!$B$24,1)+S7*Rules!$B$36-T7*Rules!$B$37+IF(V7="Y",Rules!$B$38,0)+W7)*IF(C7="Power",Rules!$B$23,1),2)</f>
        <v>9</v>
      </c>
      <c r="Z7" s="10" t="n">
        <f aca="false">ROUND((D7*Rules!$B$16+Rules!$B$17+IF(E7="Legendary",Rules!$B$21,IF(E7="Rare",Rules!$B$20,IF(E7="Uncommon",Rules!$B$19,Rules!$B$18))))*IF(U7="Y",Rules!$B$22,1),2)</f>
        <v>9</v>
      </c>
      <c r="AA7" s="10" t="n">
        <f aca="false">Y7-Z7</f>
        <v>0</v>
      </c>
      <c r="AB7" s="10" t="str">
        <f aca="false">IF(E7="Starter",IF(AA7&lt;0,"Starter (under on purpose)","Starter too strong"),IF(ABS(AA7)&lt;=Rules!$B$25,"Balanced",IF(AA7&gt;0,"Over budget","Under budget")))</f>
        <v>Balanced</v>
      </c>
    </row>
    <row r="8" customFormat="false" ht="15" hidden="false" customHeight="false" outlineLevel="0" collapsed="false">
      <c r="A8" s="10" t="s">
        <v>122</v>
      </c>
      <c r="B8" s="10" t="s">
        <v>123</v>
      </c>
      <c r="C8" s="10" t="s">
        <v>91</v>
      </c>
      <c r="D8" s="10" t="n">
        <v>2</v>
      </c>
      <c r="E8" s="10" t="s">
        <v>110</v>
      </c>
      <c r="F8" s="10" t="s">
        <v>114</v>
      </c>
      <c r="G8" s="11" t="s">
        <v>124</v>
      </c>
      <c r="H8" s="11" t="s">
        <v>125</v>
      </c>
      <c r="I8" s="12" t="n">
        <v>15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1"/>
      <c r="Y8" s="10" t="n">
        <f aca="false">ROUND((I8*Rules!$B$28+J8*Rules!$B$28*Rules!$B$24+K8*Rules!$B$29+L8*Rules!$B$30+M8*Rules!$B$31+N8*Rules!$B$32+(O8*Rules!$B$33+P8*Rules!$B$34+Q8*Rules!$B$35)*IF(R8="Y",Rules!$B$24,1)+S8*Rules!$B$36-T8*Rules!$B$37+IF(V8="Y",Rules!$B$38,0)+W8)*IF(C8="Power",Rules!$B$23,1),2)</f>
        <v>15</v>
      </c>
      <c r="Z8" s="10" t="n">
        <f aca="false">ROUND((D8*Rules!$B$16+Rules!$B$17+IF(E8="Legendary",Rules!$B$21,IF(E8="Rare",Rules!$B$20,IF(E8="Uncommon",Rules!$B$19,Rules!$B$18))))*IF(U8="Y",Rules!$B$22,1),2)</f>
        <v>15</v>
      </c>
      <c r="AA8" s="10" t="n">
        <f aca="false">Y8-Z8</f>
        <v>0</v>
      </c>
      <c r="AB8" s="10" t="str">
        <f aca="false">IF(E8="Starter",IF(AA8&lt;0,"Starter (under on purpose)","Starter too strong"),IF(ABS(AA8)&lt;=Rules!$B$25,"Balanced",IF(AA8&gt;0,"Over budget","Under budget")))</f>
        <v>Balanced</v>
      </c>
    </row>
    <row r="9" customFormat="false" ht="64.9" hidden="false" customHeight="false" outlineLevel="0" collapsed="false">
      <c r="A9" s="10" t="s">
        <v>126</v>
      </c>
      <c r="B9" s="10" t="s">
        <v>127</v>
      </c>
      <c r="C9" s="10" t="s">
        <v>91</v>
      </c>
      <c r="D9" s="10" t="n">
        <v>1</v>
      </c>
      <c r="E9" s="10" t="s">
        <v>110</v>
      </c>
      <c r="F9" s="10" t="s">
        <v>114</v>
      </c>
      <c r="G9" s="11" t="s">
        <v>128</v>
      </c>
      <c r="H9" s="11" t="s">
        <v>129</v>
      </c>
      <c r="I9" s="12" t="n">
        <v>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 t="n">
        <v>1</v>
      </c>
      <c r="X9" s="11" t="s">
        <v>130</v>
      </c>
      <c r="Y9" s="10" t="n">
        <f aca="false">ROUND((I9*Rules!$B$28+J9*Rules!$B$28*Rules!$B$24+K9*Rules!$B$29+L9*Rules!$B$30+M9*Rules!$B$31+N9*Rules!$B$32+(O9*Rules!$B$33+P9*Rules!$B$34+Q9*Rules!$B$35)*IF(R9="Y",Rules!$B$24,1)+S9*Rules!$B$36-T9*Rules!$B$37+IF(V9="Y",Rules!$B$38,0)+W9)*IF(C9="Power",Rules!$B$23,1),2)</f>
        <v>9</v>
      </c>
      <c r="Z9" s="10" t="n">
        <f aca="false">ROUND((D9*Rules!$B$16+Rules!$B$17+IF(E9="Legendary",Rules!$B$21,IF(E9="Rare",Rules!$B$20,IF(E9="Uncommon",Rules!$B$19,Rules!$B$18))))*IF(U9="Y",Rules!$B$22,1),2)</f>
        <v>9</v>
      </c>
      <c r="AA9" s="10" t="n">
        <f aca="false">Y9-Z9</f>
        <v>0</v>
      </c>
      <c r="AB9" s="10" t="str">
        <f aca="false">IF(E9="Starter",IF(AA9&lt;0,"Starter (under on purpose)","Starter too strong"),IF(ABS(AA9)&lt;=Rules!$B$25,"Balanced",IF(AA9&gt;0,"Over budget","Under budget")))</f>
        <v>Balanced</v>
      </c>
    </row>
    <row r="10" customFormat="false" ht="15" hidden="false" customHeight="false" outlineLevel="0" collapsed="false">
      <c r="A10" s="10" t="s">
        <v>131</v>
      </c>
      <c r="B10" s="10" t="s">
        <v>132</v>
      </c>
      <c r="C10" s="10" t="s">
        <v>91</v>
      </c>
      <c r="D10" s="10" t="n">
        <v>1</v>
      </c>
      <c r="E10" s="10" t="s">
        <v>110</v>
      </c>
      <c r="F10" s="10" t="s">
        <v>133</v>
      </c>
      <c r="G10" s="11" t="s">
        <v>134</v>
      </c>
      <c r="H10" s="11" t="s">
        <v>135</v>
      </c>
      <c r="I10" s="12" t="n">
        <v>3</v>
      </c>
      <c r="J10" s="12"/>
      <c r="K10" s="12"/>
      <c r="L10" s="12"/>
      <c r="M10" s="12"/>
      <c r="N10" s="12"/>
      <c r="O10" s="12"/>
      <c r="P10" s="12"/>
      <c r="Q10" s="12" t="n">
        <v>4</v>
      </c>
      <c r="R10" s="12"/>
      <c r="S10" s="12"/>
      <c r="T10" s="12"/>
      <c r="U10" s="12"/>
      <c r="V10" s="12"/>
      <c r="W10" s="12"/>
      <c r="X10" s="11"/>
      <c r="Y10" s="10" t="n">
        <f aca="false">ROUND((I10*Rules!$B$28+J10*Rules!$B$28*Rules!$B$24+K10*Rules!$B$29+L10*Rules!$B$30+M10*Rules!$B$31+N10*Rules!$B$32+(O10*Rules!$B$33+P10*Rules!$B$34+Q10*Rules!$B$35)*IF(R10="Y",Rules!$B$24,1)+S10*Rules!$B$36-T10*Rules!$B$37+IF(V10="Y",Rules!$B$38,0)+W10)*IF(C10="Power",Rules!$B$23,1),2)</f>
        <v>9</v>
      </c>
      <c r="Z10" s="10" t="n">
        <f aca="false">ROUND((D10*Rules!$B$16+Rules!$B$17+IF(E10="Legendary",Rules!$B$21,IF(E10="Rare",Rules!$B$20,IF(E10="Uncommon",Rules!$B$19,Rules!$B$18))))*IF(U10="Y",Rules!$B$22,1),2)</f>
        <v>9</v>
      </c>
      <c r="AA10" s="10" t="n">
        <f aca="false">Y10-Z10</f>
        <v>0</v>
      </c>
      <c r="AB10" s="10" t="str">
        <f aca="false">IF(E10="Starter",IF(AA10&lt;0,"Starter (under on purpose)","Starter too strong"),IF(ABS(AA10)&lt;=Rules!$B$25,"Balanced",IF(AA10&gt;0,"Over budget","Under budget")))</f>
        <v>Balanced</v>
      </c>
    </row>
    <row r="11" customFormat="false" ht="15" hidden="false" customHeight="false" outlineLevel="0" collapsed="false">
      <c r="A11" s="10" t="s">
        <v>136</v>
      </c>
      <c r="B11" s="10" t="s">
        <v>137</v>
      </c>
      <c r="C11" s="10" t="s">
        <v>91</v>
      </c>
      <c r="D11" s="10" t="n">
        <v>1</v>
      </c>
      <c r="E11" s="10" t="s">
        <v>110</v>
      </c>
      <c r="F11" s="10" t="s">
        <v>138</v>
      </c>
      <c r="G11" s="11" t="s">
        <v>139</v>
      </c>
      <c r="H11" s="11" t="s">
        <v>140</v>
      </c>
      <c r="I11" s="12" t="n">
        <v>4</v>
      </c>
      <c r="J11" s="12"/>
      <c r="K11" s="12" t="n">
        <v>4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1"/>
      <c r="Y11" s="10" t="n">
        <f aca="false">ROUND((I11*Rules!$B$28+J11*Rules!$B$28*Rules!$B$24+K11*Rules!$B$29+L11*Rules!$B$30+M11*Rules!$B$31+N11*Rules!$B$32+(O11*Rules!$B$33+P11*Rules!$B$34+Q11*Rules!$B$35)*IF(R11="Y",Rules!$B$24,1)+S11*Rules!$B$36-T11*Rules!$B$37+IF(V11="Y",Rules!$B$38,0)+W11)*IF(C11="Power",Rules!$B$23,1),2)</f>
        <v>8.8</v>
      </c>
      <c r="Z11" s="10" t="n">
        <f aca="false">ROUND((D11*Rules!$B$16+Rules!$B$17+IF(E11="Legendary",Rules!$B$21,IF(E11="Rare",Rules!$B$20,IF(E11="Uncommon",Rules!$B$19,Rules!$B$18))))*IF(U11="Y",Rules!$B$22,1),2)</f>
        <v>9</v>
      </c>
      <c r="AA11" s="10" t="n">
        <f aca="false">Y11-Z11</f>
        <v>-0.199999999999999</v>
      </c>
      <c r="AB11" s="10" t="str">
        <f aca="false">IF(E11="Starter",IF(AA11&lt;0,"Starter (under on purpose)","Starter too strong"),IF(ABS(AA11)&lt;=Rules!$B$25,"Balanced",IF(AA11&gt;0,"Over budget","Under budget")))</f>
        <v>Balanced</v>
      </c>
    </row>
    <row r="12" customFormat="false" ht="15" hidden="false" customHeight="false" outlineLevel="0" collapsed="false">
      <c r="A12" s="10" t="s">
        <v>141</v>
      </c>
      <c r="B12" s="10" t="s">
        <v>142</v>
      </c>
      <c r="C12" s="10" t="s">
        <v>99</v>
      </c>
      <c r="D12" s="10" t="n">
        <v>0</v>
      </c>
      <c r="E12" s="10" t="s">
        <v>110</v>
      </c>
      <c r="F12" s="10" t="s">
        <v>133</v>
      </c>
      <c r="G12" s="11" t="s">
        <v>143</v>
      </c>
      <c r="H12" s="11" t="s">
        <v>144</v>
      </c>
      <c r="I12" s="12"/>
      <c r="J12" s="12"/>
      <c r="K12" s="12"/>
      <c r="L12" s="12"/>
      <c r="M12" s="12"/>
      <c r="N12" s="12"/>
      <c r="O12" s="12"/>
      <c r="P12" s="12"/>
      <c r="Q12" s="12" t="n">
        <v>2</v>
      </c>
      <c r="R12" s="12"/>
      <c r="S12" s="12"/>
      <c r="T12" s="12"/>
      <c r="U12" s="12"/>
      <c r="V12" s="12"/>
      <c r="W12" s="12"/>
      <c r="X12" s="11"/>
      <c r="Y12" s="10" t="n">
        <f aca="false">ROUND((I12*Rules!$B$28+J12*Rules!$B$28*Rules!$B$24+K12*Rules!$B$29+L12*Rules!$B$30+M12*Rules!$B$31+N12*Rules!$B$32+(O12*Rules!$B$33+P12*Rules!$B$34+Q12*Rules!$B$35)*IF(R12="Y",Rules!$B$24,1)+S12*Rules!$B$36-T12*Rules!$B$37+IF(V12="Y",Rules!$B$38,0)+W12)*IF(C12="Power",Rules!$B$23,1),2)</f>
        <v>3</v>
      </c>
      <c r="Z12" s="10" t="n">
        <f aca="false">ROUND((D12*Rules!$B$16+Rules!$B$17+IF(E12="Legendary",Rules!$B$21,IF(E12="Rare",Rules!$B$20,IF(E12="Uncommon",Rules!$B$19,Rules!$B$18))))*IF(U12="Y",Rules!$B$22,1),2)</f>
        <v>3</v>
      </c>
      <c r="AA12" s="10" t="n">
        <f aca="false">Y12-Z12</f>
        <v>0</v>
      </c>
      <c r="AB12" s="10" t="str">
        <f aca="false">IF(E12="Starter",IF(AA12&lt;0,"Starter (under on purpose)","Starter too strong"),IF(ABS(AA12)&lt;=Rules!$B$25,"Balanced",IF(AA12&gt;0,"Over budget","Under budget")))</f>
        <v>Balanced</v>
      </c>
    </row>
    <row r="13" customFormat="false" ht="15" hidden="false" customHeight="false" outlineLevel="0" collapsed="false">
      <c r="A13" s="10" t="s">
        <v>145</v>
      </c>
      <c r="B13" s="10" t="s">
        <v>146</v>
      </c>
      <c r="C13" s="10" t="s">
        <v>91</v>
      </c>
      <c r="D13" s="10" t="n">
        <v>1</v>
      </c>
      <c r="E13" s="10" t="s">
        <v>110</v>
      </c>
      <c r="F13" s="10" t="s">
        <v>147</v>
      </c>
      <c r="G13" s="11" t="s">
        <v>148</v>
      </c>
      <c r="H13" s="11" t="s">
        <v>149</v>
      </c>
      <c r="I13" s="12" t="n">
        <v>5</v>
      </c>
      <c r="J13" s="12"/>
      <c r="K13" s="12"/>
      <c r="L13" s="12"/>
      <c r="M13" s="12" t="n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1"/>
      <c r="Y13" s="10" t="n">
        <f aca="false">ROUND((I13*Rules!$B$28+J13*Rules!$B$28*Rules!$B$24+K13*Rules!$B$29+L13*Rules!$B$30+M13*Rules!$B$31+N13*Rules!$B$32+(O13*Rules!$B$33+P13*Rules!$B$34+Q13*Rules!$B$35)*IF(R13="Y",Rules!$B$24,1)+S13*Rules!$B$36-T13*Rules!$B$37+IF(V13="Y",Rules!$B$38,0)+W13)*IF(C13="Power",Rules!$B$23,1),2)</f>
        <v>9</v>
      </c>
      <c r="Z13" s="10" t="n">
        <f aca="false">ROUND((D13*Rules!$B$16+Rules!$B$17+IF(E13="Legendary",Rules!$B$21,IF(E13="Rare",Rules!$B$20,IF(E13="Uncommon",Rules!$B$19,Rules!$B$18))))*IF(U13="Y",Rules!$B$22,1),2)</f>
        <v>9</v>
      </c>
      <c r="AA13" s="10" t="n">
        <f aca="false">Y13-Z13</f>
        <v>0</v>
      </c>
      <c r="AB13" s="10" t="str">
        <f aca="false">IF(E13="Starter",IF(AA13&lt;0,"Starter (under on purpose)","Starter too strong"),IF(ABS(AA13)&lt;=Rules!$B$25,"Balanced",IF(AA13&gt;0,"Over budget","Under budget")))</f>
        <v>Balanced</v>
      </c>
    </row>
    <row r="14" customFormat="false" ht="15" hidden="false" customHeight="false" outlineLevel="0" collapsed="false">
      <c r="A14" s="10" t="s">
        <v>150</v>
      </c>
      <c r="B14" s="10" t="s">
        <v>151</v>
      </c>
      <c r="C14" s="10" t="s">
        <v>91</v>
      </c>
      <c r="D14" s="10" t="n">
        <v>1</v>
      </c>
      <c r="E14" s="10" t="s">
        <v>110</v>
      </c>
      <c r="F14" s="10" t="s">
        <v>147</v>
      </c>
      <c r="G14" s="11" t="s">
        <v>152</v>
      </c>
      <c r="H14" s="11" t="s">
        <v>153</v>
      </c>
      <c r="I14" s="12" t="n">
        <v>6</v>
      </c>
      <c r="J14" s="12"/>
      <c r="K14" s="12"/>
      <c r="L14" s="12"/>
      <c r="M14" s="12"/>
      <c r="N14" s="12"/>
      <c r="O14" s="12"/>
      <c r="P14" s="12" t="n">
        <v>1</v>
      </c>
      <c r="Q14" s="12"/>
      <c r="R14" s="12"/>
      <c r="S14" s="12"/>
      <c r="T14" s="12"/>
      <c r="U14" s="12"/>
      <c r="V14" s="12"/>
      <c r="W14" s="12"/>
      <c r="X14" s="11"/>
      <c r="Y14" s="10" t="n">
        <f aca="false">ROUND((I14*Rules!$B$28+J14*Rules!$B$28*Rules!$B$24+K14*Rules!$B$29+L14*Rules!$B$30+M14*Rules!$B$31+N14*Rules!$B$32+(O14*Rules!$B$33+P14*Rules!$B$34+Q14*Rules!$B$35)*IF(R14="Y",Rules!$B$24,1)+S14*Rules!$B$36-T14*Rules!$B$37+IF(V14="Y",Rules!$B$38,0)+W14)*IF(C14="Power",Rules!$B$23,1),2)</f>
        <v>9</v>
      </c>
      <c r="Z14" s="10" t="n">
        <f aca="false">ROUND((D14*Rules!$B$16+Rules!$B$17+IF(E14="Legendary",Rules!$B$21,IF(E14="Rare",Rules!$B$20,IF(E14="Uncommon",Rules!$B$19,Rules!$B$18))))*IF(U14="Y",Rules!$B$22,1),2)</f>
        <v>9</v>
      </c>
      <c r="AA14" s="10" t="n">
        <f aca="false">Y14-Z14</f>
        <v>0</v>
      </c>
      <c r="AB14" s="10" t="str">
        <f aca="false">IF(E14="Starter",IF(AA14&lt;0,"Starter (under on purpose)","Starter too strong"),IF(ABS(AA14)&lt;=Rules!$B$25,"Balanced",IF(AA14&gt;0,"Over budget","Under budget")))</f>
        <v>Balanced</v>
      </c>
    </row>
    <row r="15" customFormat="false" ht="15" hidden="false" customHeight="false" outlineLevel="0" collapsed="false">
      <c r="A15" s="10" t="s">
        <v>154</v>
      </c>
      <c r="B15" s="10" t="s">
        <v>155</v>
      </c>
      <c r="C15" s="10" t="s">
        <v>99</v>
      </c>
      <c r="D15" s="10" t="n">
        <v>1</v>
      </c>
      <c r="E15" s="10" t="s">
        <v>110</v>
      </c>
      <c r="F15" s="10" t="s">
        <v>138</v>
      </c>
      <c r="G15" s="11" t="s">
        <v>156</v>
      </c>
      <c r="H15" s="11" t="s">
        <v>157</v>
      </c>
      <c r="I15" s="12"/>
      <c r="J15" s="12"/>
      <c r="K15" s="12" t="n">
        <v>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1"/>
      <c r="Y15" s="10" t="n">
        <f aca="false">ROUND((I15*Rules!$B$28+J15*Rules!$B$28*Rules!$B$24+K15*Rules!$B$29+L15*Rules!$B$30+M15*Rules!$B$31+N15*Rules!$B$32+(O15*Rules!$B$33+P15*Rules!$B$34+Q15*Rules!$B$35)*IF(R15="Y",Rules!$B$24,1)+S15*Rules!$B$36-T15*Rules!$B$37+IF(V15="Y",Rules!$B$38,0)+W15)*IF(C15="Power",Rules!$B$23,1),2)</f>
        <v>8.4</v>
      </c>
      <c r="Z15" s="10" t="n">
        <f aca="false">ROUND((D15*Rules!$B$16+Rules!$B$17+IF(E15="Legendary",Rules!$B$21,IF(E15="Rare",Rules!$B$20,IF(E15="Uncommon",Rules!$B$19,Rules!$B$18))))*IF(U15="Y",Rules!$B$22,1),2)</f>
        <v>9</v>
      </c>
      <c r="AA15" s="10" t="n">
        <f aca="false">Y15-Z15</f>
        <v>-0.6</v>
      </c>
      <c r="AB15" s="10" t="str">
        <f aca="false">IF(E15="Starter",IF(AA15&lt;0,"Starter (under on purpose)","Starter too strong"),IF(ABS(AA15)&lt;=Rules!$B$25,"Balanced",IF(AA15&gt;0,"Over budget","Under budget")))</f>
        <v>Balanced</v>
      </c>
    </row>
    <row r="16" customFormat="false" ht="15" hidden="false" customHeight="false" outlineLevel="0" collapsed="false">
      <c r="A16" s="10" t="s">
        <v>158</v>
      </c>
      <c r="B16" s="10" t="s">
        <v>159</v>
      </c>
      <c r="C16" s="10" t="s">
        <v>99</v>
      </c>
      <c r="D16" s="10" t="n">
        <v>2</v>
      </c>
      <c r="E16" s="10" t="s">
        <v>110</v>
      </c>
      <c r="F16" s="10" t="s">
        <v>138</v>
      </c>
      <c r="G16" s="11" t="s">
        <v>160</v>
      </c>
      <c r="H16" s="11" t="s">
        <v>161</v>
      </c>
      <c r="I16" s="12"/>
      <c r="J16" s="12"/>
      <c r="K16" s="12" t="n">
        <v>12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/>
      <c r="Y16" s="10" t="n">
        <f aca="false">ROUND((I16*Rules!$B$28+J16*Rules!$B$28*Rules!$B$24+K16*Rules!$B$29+L16*Rules!$B$30+M16*Rules!$B$31+N16*Rules!$B$32+(O16*Rules!$B$33+P16*Rules!$B$34+Q16*Rules!$B$35)*IF(R16="Y",Rules!$B$24,1)+S16*Rules!$B$36-T16*Rules!$B$37+IF(V16="Y",Rules!$B$38,0)+W16)*IF(C16="Power",Rules!$B$23,1),2)</f>
        <v>14.4</v>
      </c>
      <c r="Z16" s="10" t="n">
        <f aca="false">ROUND((D16*Rules!$B$16+Rules!$B$17+IF(E16="Legendary",Rules!$B$21,IF(E16="Rare",Rules!$B$20,IF(E16="Uncommon",Rules!$B$19,Rules!$B$18))))*IF(U16="Y",Rules!$B$22,1),2)</f>
        <v>15</v>
      </c>
      <c r="AA16" s="10" t="n">
        <f aca="false">Y16-Z16</f>
        <v>-0.6</v>
      </c>
      <c r="AB16" s="10" t="str">
        <f aca="false">IF(E16="Starter",IF(AA16&lt;0,"Starter (under on purpose)","Starter too strong"),IF(ABS(AA16)&lt;=Rules!$B$25,"Balanced",IF(AA16&gt;0,"Over budget","Under budget")))</f>
        <v>Balanced</v>
      </c>
    </row>
    <row r="17" customFormat="false" ht="15" hidden="false" customHeight="false" outlineLevel="0" collapsed="false">
      <c r="A17" s="10" t="s">
        <v>162</v>
      </c>
      <c r="B17" s="10" t="s">
        <v>163</v>
      </c>
      <c r="C17" s="10" t="s">
        <v>99</v>
      </c>
      <c r="D17" s="10" t="n">
        <v>1</v>
      </c>
      <c r="E17" s="10" t="s">
        <v>110</v>
      </c>
      <c r="F17" s="10" t="s">
        <v>138</v>
      </c>
      <c r="G17" s="11" t="s">
        <v>164</v>
      </c>
      <c r="H17" s="11" t="s">
        <v>165</v>
      </c>
      <c r="I17" s="12"/>
      <c r="J17" s="12"/>
      <c r="K17" s="12" t="n">
        <v>4</v>
      </c>
      <c r="L17" s="12"/>
      <c r="M17" s="12" t="n">
        <v>1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1"/>
      <c r="Y17" s="10" t="n">
        <f aca="false">ROUND((I17*Rules!$B$28+J17*Rules!$B$28*Rules!$B$24+K17*Rules!$B$29+L17*Rules!$B$30+M17*Rules!$B$31+N17*Rules!$B$32+(O17*Rules!$B$33+P17*Rules!$B$34+Q17*Rules!$B$35)*IF(R17="Y",Rules!$B$24,1)+S17*Rules!$B$36-T17*Rules!$B$37+IF(V17="Y",Rules!$B$38,0)+W17)*IF(C17="Power",Rules!$B$23,1),2)</f>
        <v>8.8</v>
      </c>
      <c r="Z17" s="10" t="n">
        <f aca="false">ROUND((D17*Rules!$B$16+Rules!$B$17+IF(E17="Legendary",Rules!$B$21,IF(E17="Rare",Rules!$B$20,IF(E17="Uncommon",Rules!$B$19,Rules!$B$18))))*IF(U17="Y",Rules!$B$22,1),2)</f>
        <v>9</v>
      </c>
      <c r="AA17" s="10" t="n">
        <f aca="false">Y17-Z17</f>
        <v>-0.199999999999999</v>
      </c>
      <c r="AB17" s="10" t="str">
        <f aca="false">IF(E17="Starter",IF(AA17&lt;0,"Starter (under on purpose)","Starter too strong"),IF(ABS(AA17)&lt;=Rules!$B$25,"Balanced",IF(AA17&gt;0,"Over budget","Under budget")))</f>
        <v>Balanced</v>
      </c>
    </row>
    <row r="18" customFormat="false" ht="15" hidden="false" customHeight="false" outlineLevel="0" collapsed="false">
      <c r="A18" s="10" t="s">
        <v>166</v>
      </c>
      <c r="B18" s="10" t="s">
        <v>167</v>
      </c>
      <c r="C18" s="10" t="s">
        <v>99</v>
      </c>
      <c r="D18" s="10" t="n">
        <v>1</v>
      </c>
      <c r="E18" s="10" t="s">
        <v>110</v>
      </c>
      <c r="F18" s="10" t="s">
        <v>133</v>
      </c>
      <c r="G18" s="11" t="s">
        <v>168</v>
      </c>
      <c r="H18" s="11" t="s">
        <v>169</v>
      </c>
      <c r="I18" s="12"/>
      <c r="J18" s="12"/>
      <c r="K18" s="12"/>
      <c r="L18" s="12"/>
      <c r="M18" s="12"/>
      <c r="N18" s="12"/>
      <c r="O18" s="12"/>
      <c r="P18" s="12"/>
      <c r="Q18" s="12" t="n">
        <v>6</v>
      </c>
      <c r="R18" s="12"/>
      <c r="S18" s="12"/>
      <c r="T18" s="12"/>
      <c r="U18" s="12"/>
      <c r="V18" s="12"/>
      <c r="W18" s="12"/>
      <c r="X18" s="11"/>
      <c r="Y18" s="10" t="n">
        <f aca="false">ROUND((I18*Rules!$B$28+J18*Rules!$B$28*Rules!$B$24+K18*Rules!$B$29+L18*Rules!$B$30+M18*Rules!$B$31+N18*Rules!$B$32+(O18*Rules!$B$33+P18*Rules!$B$34+Q18*Rules!$B$35)*IF(R18="Y",Rules!$B$24,1)+S18*Rules!$B$36-T18*Rules!$B$37+IF(V18="Y",Rules!$B$38,0)+W18)*IF(C18="Power",Rules!$B$23,1),2)</f>
        <v>9</v>
      </c>
      <c r="Z18" s="10" t="n">
        <f aca="false">ROUND((D18*Rules!$B$16+Rules!$B$17+IF(E18="Legendary",Rules!$B$21,IF(E18="Rare",Rules!$B$20,IF(E18="Uncommon",Rules!$B$19,Rules!$B$18))))*IF(U18="Y",Rules!$B$22,1),2)</f>
        <v>9</v>
      </c>
      <c r="AA18" s="10" t="n">
        <f aca="false">Y18-Z18</f>
        <v>0</v>
      </c>
      <c r="AB18" s="10" t="str">
        <f aca="false">IF(E18="Starter",IF(AA18&lt;0,"Starter (under on purpose)","Starter too strong"),IF(ABS(AA18)&lt;=Rules!$B$25,"Balanced",IF(AA18&gt;0,"Over budget","Under budget")))</f>
        <v>Balanced</v>
      </c>
    </row>
    <row r="19" customFormat="false" ht="64.9" hidden="false" customHeight="false" outlineLevel="0" collapsed="false">
      <c r="A19" s="10" t="s">
        <v>170</v>
      </c>
      <c r="B19" s="10" t="s">
        <v>171</v>
      </c>
      <c r="C19" s="10" t="s">
        <v>99</v>
      </c>
      <c r="D19" s="10" t="n">
        <v>1</v>
      </c>
      <c r="E19" s="10" t="s">
        <v>110</v>
      </c>
      <c r="F19" s="10" t="s">
        <v>93</v>
      </c>
      <c r="G19" s="11" t="s">
        <v>172</v>
      </c>
      <c r="H19" s="11" t="s">
        <v>173</v>
      </c>
      <c r="I19" s="12"/>
      <c r="J19" s="12"/>
      <c r="K19" s="12" t="n">
        <v>4</v>
      </c>
      <c r="L19" s="12" t="n">
        <v>4</v>
      </c>
      <c r="M19" s="12"/>
      <c r="N19" s="12"/>
      <c r="O19" s="12"/>
      <c r="P19" s="12"/>
      <c r="Q19" s="12"/>
      <c r="R19" s="12"/>
      <c r="S19" s="12"/>
      <c r="T19" s="12"/>
      <c r="U19" s="12" t="s">
        <v>174</v>
      </c>
      <c r="V19" s="12"/>
      <c r="W19" s="12"/>
      <c r="X19" s="11" t="s">
        <v>175</v>
      </c>
      <c r="Y19" s="10" t="n">
        <f aca="false">ROUND((I19*Rules!$B$28+J19*Rules!$B$28*Rules!$B$24+K19*Rules!$B$29+L19*Rules!$B$30+M19*Rules!$B$31+N19*Rules!$B$32+(O19*Rules!$B$33+P19*Rules!$B$34+Q19*Rules!$B$35)*IF(R19="Y",Rules!$B$24,1)+S19*Rules!$B$36-T19*Rules!$B$37+IF(V19="Y",Rules!$B$38,0)+W19)*IF(C19="Power",Rules!$B$23,1),2)</f>
        <v>10.8</v>
      </c>
      <c r="Z19" s="10" t="n">
        <f aca="false">ROUND((D19*Rules!$B$16+Rules!$B$17+IF(E19="Legendary",Rules!$B$21,IF(E19="Rare",Rules!$B$20,IF(E19="Uncommon",Rules!$B$19,Rules!$B$18))))*IF(U19="Y",Rules!$B$22,1),2)</f>
        <v>11.7</v>
      </c>
      <c r="AA19" s="10" t="n">
        <f aca="false">Y19-Z19</f>
        <v>-0.899999999999999</v>
      </c>
      <c r="AB19" s="10" t="str">
        <f aca="false">IF(E19="Starter",IF(AA19&lt;0,"Starter (under on purpose)","Starter too strong"),IF(ABS(AA19)&lt;=Rules!$B$25,"Balanced",IF(AA19&gt;0,"Over budget","Under budget")))</f>
        <v>Balanced</v>
      </c>
    </row>
    <row r="20" customFormat="false" ht="15" hidden="false" customHeight="false" outlineLevel="0" collapsed="false">
      <c r="A20" s="10" t="s">
        <v>176</v>
      </c>
      <c r="B20" s="10" t="s">
        <v>177</v>
      </c>
      <c r="C20" s="10" t="s">
        <v>99</v>
      </c>
      <c r="D20" s="10" t="n">
        <v>1</v>
      </c>
      <c r="E20" s="10" t="s">
        <v>110</v>
      </c>
      <c r="F20" s="10" t="s">
        <v>147</v>
      </c>
      <c r="G20" s="11" t="s">
        <v>178</v>
      </c>
      <c r="H20" s="11" t="s">
        <v>179</v>
      </c>
      <c r="I20" s="12"/>
      <c r="J20" s="12"/>
      <c r="K20" s="12"/>
      <c r="L20" s="12"/>
      <c r="M20" s="12" t="n">
        <v>2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1"/>
      <c r="Y20" s="10" t="n">
        <f aca="false">ROUND((I20*Rules!$B$28+J20*Rules!$B$28*Rules!$B$24+K20*Rules!$B$29+L20*Rules!$B$30+M20*Rules!$B$31+N20*Rules!$B$32+(O20*Rules!$B$33+P20*Rules!$B$34+Q20*Rules!$B$35)*IF(R20="Y",Rules!$B$24,1)+S20*Rules!$B$36-T20*Rules!$B$37+IF(V20="Y",Rules!$B$38,0)+W20)*IF(C20="Power",Rules!$B$23,1),2)</f>
        <v>8</v>
      </c>
      <c r="Z20" s="10" t="n">
        <f aca="false">ROUND((D20*Rules!$B$16+Rules!$B$17+IF(E20="Legendary",Rules!$B$21,IF(E20="Rare",Rules!$B$20,IF(E20="Uncommon",Rules!$B$19,Rules!$B$18))))*IF(U20="Y",Rules!$B$22,1),2)</f>
        <v>9</v>
      </c>
      <c r="AA20" s="10" t="n">
        <f aca="false">Y20-Z20</f>
        <v>-1</v>
      </c>
      <c r="AB20" s="10" t="str">
        <f aca="false">IF(E20="Starter",IF(AA20&lt;0,"Starter (under on purpose)","Starter too strong"),IF(ABS(AA20)&lt;=Rules!$B$25,"Balanced",IF(AA20&gt;0,"Over budget","Under budget")))</f>
        <v>Balanced</v>
      </c>
    </row>
    <row r="21" customFormat="false" ht="15" hidden="false" customHeight="false" outlineLevel="0" collapsed="false">
      <c r="A21" s="10" t="s">
        <v>180</v>
      </c>
      <c r="B21" s="10" t="s">
        <v>181</v>
      </c>
      <c r="C21" s="10" t="s">
        <v>99</v>
      </c>
      <c r="D21" s="10" t="n">
        <v>1</v>
      </c>
      <c r="E21" s="10" t="s">
        <v>110</v>
      </c>
      <c r="F21" s="10" t="s">
        <v>147</v>
      </c>
      <c r="G21" s="11" t="s">
        <v>182</v>
      </c>
      <c r="H21" s="11" t="s">
        <v>183</v>
      </c>
      <c r="I21" s="12"/>
      <c r="J21" s="12"/>
      <c r="K21" s="12"/>
      <c r="L21" s="12"/>
      <c r="M21" s="12"/>
      <c r="N21" s="12"/>
      <c r="O21" s="12" t="n">
        <v>2</v>
      </c>
      <c r="P21" s="12"/>
      <c r="Q21" s="12"/>
      <c r="R21" s="12" t="s">
        <v>174</v>
      </c>
      <c r="S21" s="12"/>
      <c r="T21" s="12"/>
      <c r="U21" s="12"/>
      <c r="V21" s="12"/>
      <c r="W21" s="12"/>
      <c r="X21" s="11"/>
      <c r="Y21" s="10" t="n">
        <f aca="false">ROUND((I21*Rules!$B$28+J21*Rules!$B$28*Rules!$B$24+K21*Rules!$B$29+L21*Rules!$B$30+M21*Rules!$B$31+N21*Rules!$B$32+(O21*Rules!$B$33+P21*Rules!$B$34+Q21*Rules!$B$35)*IF(R21="Y",Rules!$B$24,1)+S21*Rules!$B$36-T21*Rules!$B$37+IF(V21="Y",Rules!$B$38,0)+W21)*IF(C21="Power",Rules!$B$23,1),2)</f>
        <v>9</v>
      </c>
      <c r="Z21" s="10" t="n">
        <f aca="false">ROUND((D21*Rules!$B$16+Rules!$B$17+IF(E21="Legendary",Rules!$B$21,IF(E21="Rare",Rules!$B$20,IF(E21="Uncommon",Rules!$B$19,Rules!$B$18))))*IF(U21="Y",Rules!$B$22,1),2)</f>
        <v>9</v>
      </c>
      <c r="AA21" s="10" t="n">
        <f aca="false">Y21-Z21</f>
        <v>0</v>
      </c>
      <c r="AB21" s="10" t="str">
        <f aca="false">IF(E21="Starter",IF(AA21&lt;0,"Starter (under on purpose)","Starter too strong"),IF(ABS(AA21)&lt;=Rules!$B$25,"Balanced",IF(AA21&gt;0,"Over budget","Under budget")))</f>
        <v>Balanced</v>
      </c>
    </row>
    <row r="22" customFormat="false" ht="64.9" hidden="false" customHeight="false" outlineLevel="0" collapsed="false">
      <c r="A22" s="10" t="s">
        <v>184</v>
      </c>
      <c r="B22" s="10" t="s">
        <v>185</v>
      </c>
      <c r="C22" s="10" t="s">
        <v>99</v>
      </c>
      <c r="D22" s="10" t="n">
        <v>0</v>
      </c>
      <c r="E22" s="10" t="s">
        <v>110</v>
      </c>
      <c r="F22" s="10" t="s">
        <v>114</v>
      </c>
      <c r="G22" s="11" t="s">
        <v>186</v>
      </c>
      <c r="H22" s="11" t="s">
        <v>187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 t="n">
        <v>3</v>
      </c>
      <c r="X22" s="11" t="s">
        <v>188</v>
      </c>
      <c r="Y22" s="10" t="n">
        <f aca="false">ROUND((I22*Rules!$B$28+J22*Rules!$B$28*Rules!$B$24+K22*Rules!$B$29+L22*Rules!$B$30+M22*Rules!$B$31+N22*Rules!$B$32+(O22*Rules!$B$33+P22*Rules!$B$34+Q22*Rules!$B$35)*IF(R22="Y",Rules!$B$24,1)+S22*Rules!$B$36-T22*Rules!$B$37+IF(V22="Y",Rules!$B$38,0)+W22)*IF(C22="Power",Rules!$B$23,1),2)</f>
        <v>3</v>
      </c>
      <c r="Z22" s="10" t="n">
        <f aca="false">ROUND((D22*Rules!$B$16+Rules!$B$17+IF(E22="Legendary",Rules!$B$21,IF(E22="Rare",Rules!$B$20,IF(E22="Uncommon",Rules!$B$19,Rules!$B$18))))*IF(U22="Y",Rules!$B$22,1),2)</f>
        <v>3</v>
      </c>
      <c r="AA22" s="10" t="n">
        <f aca="false">Y22-Z22</f>
        <v>0</v>
      </c>
      <c r="AB22" s="10" t="str">
        <f aca="false">IF(E22="Starter",IF(AA22&lt;0,"Starter (under on purpose)","Starter too strong"),IF(ABS(AA22)&lt;=Rules!$B$25,"Balanced",IF(AA22&gt;0,"Over budget","Under budget")))</f>
        <v>Balanced</v>
      </c>
    </row>
    <row r="23" customFormat="false" ht="15" hidden="false" customHeight="false" outlineLevel="0" collapsed="false">
      <c r="A23" s="10" t="s">
        <v>189</v>
      </c>
      <c r="B23" s="10" t="s">
        <v>190</v>
      </c>
      <c r="C23" s="10" t="s">
        <v>99</v>
      </c>
      <c r="D23" s="10" t="n">
        <v>0</v>
      </c>
      <c r="E23" s="10" t="s">
        <v>110</v>
      </c>
      <c r="F23" s="10" t="s">
        <v>147</v>
      </c>
      <c r="G23" s="11" t="s">
        <v>191</v>
      </c>
      <c r="H23" s="11" t="s">
        <v>192</v>
      </c>
      <c r="I23" s="12"/>
      <c r="J23" s="12"/>
      <c r="K23" s="12"/>
      <c r="L23" s="12"/>
      <c r="M23" s="12" t="n">
        <v>1</v>
      </c>
      <c r="N23" s="12"/>
      <c r="O23" s="12"/>
      <c r="P23" s="12"/>
      <c r="Q23" s="12"/>
      <c r="R23" s="12"/>
      <c r="S23" s="12"/>
      <c r="T23" s="12"/>
      <c r="U23" s="12" t="s">
        <v>174</v>
      </c>
      <c r="V23" s="12"/>
      <c r="W23" s="12"/>
      <c r="X23" s="11"/>
      <c r="Y23" s="10" t="n">
        <f aca="false">ROUND((I23*Rules!$B$28+J23*Rules!$B$28*Rules!$B$24+K23*Rules!$B$29+L23*Rules!$B$30+M23*Rules!$B$31+N23*Rules!$B$32+(O23*Rules!$B$33+P23*Rules!$B$34+Q23*Rules!$B$35)*IF(R23="Y",Rules!$B$24,1)+S23*Rules!$B$36-T23*Rules!$B$37+IF(V23="Y",Rules!$B$38,0)+W23)*IF(C23="Power",Rules!$B$23,1),2)</f>
        <v>4</v>
      </c>
      <c r="Z23" s="10" t="n">
        <f aca="false">ROUND((D23*Rules!$B$16+Rules!$B$17+IF(E23="Legendary",Rules!$B$21,IF(E23="Rare",Rules!$B$20,IF(E23="Uncommon",Rules!$B$19,Rules!$B$18))))*IF(U23="Y",Rules!$B$22,1),2)</f>
        <v>3.9</v>
      </c>
      <c r="AA23" s="10" t="n">
        <f aca="false">Y23-Z23</f>
        <v>0.1</v>
      </c>
      <c r="AB23" s="10" t="str">
        <f aca="false">IF(E23="Starter",IF(AA23&lt;0,"Starter (under on purpose)","Starter too strong"),IF(ABS(AA23)&lt;=Rules!$B$25,"Balanced",IF(AA23&gt;0,"Over budget","Under budget")))</f>
        <v>Balanced</v>
      </c>
    </row>
    <row r="24" customFormat="false" ht="15" hidden="false" customHeight="false" outlineLevel="0" collapsed="false">
      <c r="A24" s="10" t="s">
        <v>193</v>
      </c>
      <c r="B24" s="10" t="s">
        <v>194</v>
      </c>
      <c r="C24" s="10" t="s">
        <v>99</v>
      </c>
      <c r="D24" s="10" t="n">
        <v>1</v>
      </c>
      <c r="E24" s="10" t="s">
        <v>110</v>
      </c>
      <c r="F24" s="10" t="s">
        <v>138</v>
      </c>
      <c r="G24" s="11" t="s">
        <v>195</v>
      </c>
      <c r="H24" s="11" t="s">
        <v>196</v>
      </c>
      <c r="I24" s="12"/>
      <c r="J24" s="12"/>
      <c r="K24" s="12" t="n">
        <v>5</v>
      </c>
      <c r="L24" s="12"/>
      <c r="M24" s="12"/>
      <c r="N24" s="12"/>
      <c r="O24" s="12" t="n">
        <v>1</v>
      </c>
      <c r="P24" s="12"/>
      <c r="Q24" s="12"/>
      <c r="R24" s="12"/>
      <c r="S24" s="12"/>
      <c r="T24" s="12"/>
      <c r="U24" s="12"/>
      <c r="V24" s="12"/>
      <c r="W24" s="12"/>
      <c r="X24" s="11"/>
      <c r="Y24" s="10" t="n">
        <f aca="false">ROUND((I24*Rules!$B$28+J24*Rules!$B$28*Rules!$B$24+K24*Rules!$B$29+L24*Rules!$B$30+M24*Rules!$B$31+N24*Rules!$B$32+(O24*Rules!$B$33+P24*Rules!$B$34+Q24*Rules!$B$35)*IF(R24="Y",Rules!$B$24,1)+S24*Rules!$B$36-T24*Rules!$B$37+IF(V24="Y",Rules!$B$38,0)+W24)*IF(C24="Power",Rules!$B$23,1),2)</f>
        <v>9</v>
      </c>
      <c r="Z24" s="10" t="n">
        <f aca="false">ROUND((D24*Rules!$B$16+Rules!$B$17+IF(E24="Legendary",Rules!$B$21,IF(E24="Rare",Rules!$B$20,IF(E24="Uncommon",Rules!$B$19,Rules!$B$18))))*IF(U24="Y",Rules!$B$22,1),2)</f>
        <v>9</v>
      </c>
      <c r="AA24" s="10" t="n">
        <f aca="false">Y24-Z24</f>
        <v>0</v>
      </c>
      <c r="AB24" s="10" t="str">
        <f aca="false">IF(E24="Starter",IF(AA24&lt;0,"Starter (under on purpose)","Starter too strong"),IF(ABS(AA24)&lt;=Rules!$B$25,"Balanced",IF(AA24&gt;0,"Over budget","Under budget")))</f>
        <v>Balanced</v>
      </c>
    </row>
    <row r="25" customFormat="false" ht="15" hidden="false" customHeight="false" outlineLevel="0" collapsed="false">
      <c r="A25" s="10" t="s">
        <v>197</v>
      </c>
      <c r="B25" s="10" t="s">
        <v>198</v>
      </c>
      <c r="C25" s="10" t="s">
        <v>91</v>
      </c>
      <c r="D25" s="10" t="n">
        <v>1</v>
      </c>
      <c r="E25" s="10" t="s">
        <v>110</v>
      </c>
      <c r="F25" s="10" t="s">
        <v>93</v>
      </c>
      <c r="G25" s="11" t="s">
        <v>199</v>
      </c>
      <c r="H25" s="11" t="s">
        <v>200</v>
      </c>
      <c r="I25" s="12" t="n">
        <v>5</v>
      </c>
      <c r="J25" s="12"/>
      <c r="K25" s="12" t="n">
        <v>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1"/>
      <c r="Y25" s="10" t="n">
        <f aca="false">ROUND((I25*Rules!$B$28+J25*Rules!$B$28*Rules!$B$24+K25*Rules!$B$29+L25*Rules!$B$30+M25*Rules!$B$31+N25*Rules!$B$32+(O25*Rules!$B$33+P25*Rules!$B$34+Q25*Rules!$B$35)*IF(R25="Y",Rules!$B$24,1)+S25*Rules!$B$36-T25*Rules!$B$37+IF(V25="Y",Rules!$B$38,0)+W25)*IF(C25="Power",Rules!$B$23,1),2)</f>
        <v>8.6</v>
      </c>
      <c r="Z25" s="10" t="n">
        <f aca="false">ROUND((D25*Rules!$B$16+Rules!$B$17+IF(E25="Legendary",Rules!$B$21,IF(E25="Rare",Rules!$B$20,IF(E25="Uncommon",Rules!$B$19,Rules!$B$18))))*IF(U25="Y",Rules!$B$22,1),2)</f>
        <v>9</v>
      </c>
      <c r="AA25" s="10" t="n">
        <f aca="false">Y25-Z25</f>
        <v>-0.4</v>
      </c>
      <c r="AB25" s="10" t="str">
        <f aca="false">IF(E25="Starter",IF(AA25&lt;0,"Starter (under on purpose)","Starter too strong"),IF(ABS(AA25)&lt;=Rules!$B$25,"Balanced",IF(AA25&gt;0,"Over budget","Under budget")))</f>
        <v>Balanced</v>
      </c>
    </row>
    <row r="26" customFormat="false" ht="15" hidden="false" customHeight="false" outlineLevel="0" collapsed="false">
      <c r="A26" s="10" t="s">
        <v>201</v>
      </c>
      <c r="B26" s="10" t="s">
        <v>202</v>
      </c>
      <c r="C26" s="10" t="s">
        <v>99</v>
      </c>
      <c r="D26" s="10" t="n">
        <v>1</v>
      </c>
      <c r="E26" s="10" t="s">
        <v>110</v>
      </c>
      <c r="F26" s="10" t="s">
        <v>93</v>
      </c>
      <c r="G26" s="11" t="s">
        <v>203</v>
      </c>
      <c r="H26" s="11" t="s">
        <v>204</v>
      </c>
      <c r="I26" s="12"/>
      <c r="J26" s="12"/>
      <c r="K26" s="12" t="n">
        <v>3</v>
      </c>
      <c r="L26" s="12"/>
      <c r="M26" s="12" t="n">
        <v>1</v>
      </c>
      <c r="N26" s="12"/>
      <c r="O26" s="12"/>
      <c r="P26" s="12"/>
      <c r="Q26" s="12"/>
      <c r="R26" s="12"/>
      <c r="S26" s="12"/>
      <c r="T26" s="12"/>
      <c r="U26" s="12"/>
      <c r="V26" s="12" t="s">
        <v>174</v>
      </c>
      <c r="W26" s="12"/>
      <c r="X26" s="11"/>
      <c r="Y26" s="10" t="n">
        <f aca="false">ROUND((I26*Rules!$B$28+J26*Rules!$B$28*Rules!$B$24+K26*Rules!$B$29+L26*Rules!$B$30+M26*Rules!$B$31+N26*Rules!$B$32+(O26*Rules!$B$33+P26*Rules!$B$34+Q26*Rules!$B$35)*IF(R26="Y",Rules!$B$24,1)+S26*Rules!$B$36-T26*Rules!$B$37+IF(V26="Y",Rules!$B$38,0)+W26)*IF(C26="Power",Rules!$B$23,1),2)</f>
        <v>9.6</v>
      </c>
      <c r="Z26" s="10" t="n">
        <f aca="false">ROUND((D26*Rules!$B$16+Rules!$B$17+IF(E26="Legendary",Rules!$B$21,IF(E26="Rare",Rules!$B$20,IF(E26="Uncommon",Rules!$B$19,Rules!$B$18))))*IF(U26="Y",Rules!$B$22,1),2)</f>
        <v>9</v>
      </c>
      <c r="AA26" s="10" t="n">
        <f aca="false">Y26-Z26</f>
        <v>0.6</v>
      </c>
      <c r="AB26" s="10" t="str">
        <f aca="false">IF(E26="Starter",IF(AA26&lt;0,"Starter (under on purpose)","Starter too strong"),IF(ABS(AA26)&lt;=Rules!$B$25,"Balanced",IF(AA26&gt;0,"Over budget","Under budget")))</f>
        <v>Balanced</v>
      </c>
    </row>
    <row r="27" customFormat="false" ht="15" hidden="false" customHeight="false" outlineLevel="0" collapsed="false">
      <c r="A27" s="10" t="s">
        <v>205</v>
      </c>
      <c r="B27" s="10" t="s">
        <v>206</v>
      </c>
      <c r="C27" s="10" t="s">
        <v>99</v>
      </c>
      <c r="D27" s="10" t="n">
        <v>1</v>
      </c>
      <c r="E27" s="10" t="s">
        <v>110</v>
      </c>
      <c r="F27" s="10" t="s">
        <v>93</v>
      </c>
      <c r="G27" s="11" t="s">
        <v>207</v>
      </c>
      <c r="H27" s="11" t="s">
        <v>208</v>
      </c>
      <c r="I27" s="12"/>
      <c r="J27" s="12"/>
      <c r="K27" s="12"/>
      <c r="L27" s="12" t="n">
        <v>5</v>
      </c>
      <c r="M27" s="12" t="n">
        <v>1</v>
      </c>
      <c r="N27" s="12"/>
      <c r="O27" s="12"/>
      <c r="P27" s="12"/>
      <c r="Q27" s="12"/>
      <c r="R27" s="12"/>
      <c r="S27" s="12"/>
      <c r="T27" s="12"/>
      <c r="U27" s="12" t="s">
        <v>174</v>
      </c>
      <c r="V27" s="12"/>
      <c r="W27" s="12"/>
      <c r="X27" s="11"/>
      <c r="Y27" s="10" t="n">
        <f aca="false">ROUND((I27*Rules!$B$28+J27*Rules!$B$28*Rules!$B$24+K27*Rules!$B$29+L27*Rules!$B$30+M27*Rules!$B$31+N27*Rules!$B$32+(O27*Rules!$B$33+P27*Rules!$B$34+Q27*Rules!$B$35)*IF(R27="Y",Rules!$B$24,1)+S27*Rules!$B$36-T27*Rules!$B$37+IF(V27="Y",Rules!$B$38,0)+W27)*IF(C27="Power",Rules!$B$23,1),2)</f>
        <v>11.5</v>
      </c>
      <c r="Z27" s="10" t="n">
        <f aca="false">ROUND((D27*Rules!$B$16+Rules!$B$17+IF(E27="Legendary",Rules!$B$21,IF(E27="Rare",Rules!$B$20,IF(E27="Uncommon",Rules!$B$19,Rules!$B$18))))*IF(U27="Y",Rules!$B$22,1),2)</f>
        <v>11.7</v>
      </c>
      <c r="AA27" s="10" t="n">
        <f aca="false">Y27-Z27</f>
        <v>-0.199999999999999</v>
      </c>
      <c r="AB27" s="10" t="str">
        <f aca="false">IF(E27="Starter",IF(AA27&lt;0,"Starter (under on purpose)","Starter too strong"),IF(ABS(AA27)&lt;=Rules!$B$25,"Balanced",IF(AA27&gt;0,"Over budget","Under budget")))</f>
        <v>Balanced</v>
      </c>
    </row>
    <row r="28" customFormat="false" ht="15" hidden="false" customHeight="false" outlineLevel="0" collapsed="false">
      <c r="A28" s="10" t="s">
        <v>209</v>
      </c>
      <c r="B28" s="10" t="s">
        <v>210</v>
      </c>
      <c r="C28" s="10" t="s">
        <v>91</v>
      </c>
      <c r="D28" s="10" t="n">
        <v>2</v>
      </c>
      <c r="E28" s="10" t="s">
        <v>110</v>
      </c>
      <c r="F28" s="10" t="s">
        <v>93</v>
      </c>
      <c r="G28" s="11" t="s">
        <v>211</v>
      </c>
      <c r="H28" s="11" t="s">
        <v>212</v>
      </c>
      <c r="I28" s="12" t="n">
        <v>12</v>
      </c>
      <c r="J28" s="12"/>
      <c r="K28" s="12"/>
      <c r="L28" s="12"/>
      <c r="M28" s="12"/>
      <c r="N28" s="12"/>
      <c r="O28" s="12" t="n">
        <v>1</v>
      </c>
      <c r="P28" s="12"/>
      <c r="Q28" s="12"/>
      <c r="R28" s="12"/>
      <c r="S28" s="12"/>
      <c r="T28" s="12"/>
      <c r="U28" s="12"/>
      <c r="V28" s="12"/>
      <c r="W28" s="12"/>
      <c r="X28" s="11"/>
      <c r="Y28" s="10" t="n">
        <f aca="false">ROUND((I28*Rules!$B$28+J28*Rules!$B$28*Rules!$B$24+K28*Rules!$B$29+L28*Rules!$B$30+M28*Rules!$B$31+N28*Rules!$B$32+(O28*Rules!$B$33+P28*Rules!$B$34+Q28*Rules!$B$35)*IF(R28="Y",Rules!$B$24,1)+S28*Rules!$B$36-T28*Rules!$B$37+IF(V28="Y",Rules!$B$38,0)+W28)*IF(C28="Power",Rules!$B$23,1),2)</f>
        <v>15</v>
      </c>
      <c r="Z28" s="10" t="n">
        <f aca="false">ROUND((D28*Rules!$B$16+Rules!$B$17+IF(E28="Legendary",Rules!$B$21,IF(E28="Rare",Rules!$B$20,IF(E28="Uncommon",Rules!$B$19,Rules!$B$18))))*IF(U28="Y",Rules!$B$22,1),2)</f>
        <v>15</v>
      </c>
      <c r="AA28" s="10" t="n">
        <f aca="false">Y28-Z28</f>
        <v>0</v>
      </c>
      <c r="AB28" s="10" t="str">
        <f aca="false">IF(E28="Starter",IF(AA28&lt;0,"Starter (under on purpose)","Starter too strong"),IF(ABS(AA28)&lt;=Rules!$B$25,"Balanced",IF(AA28&gt;0,"Over budget","Under budget")))</f>
        <v>Balanced</v>
      </c>
    </row>
    <row r="29" customFormat="false" ht="15" hidden="false" customHeight="false" outlineLevel="0" collapsed="false">
      <c r="A29" s="10" t="s">
        <v>213</v>
      </c>
      <c r="B29" s="10" t="s">
        <v>214</v>
      </c>
      <c r="C29" s="10" t="s">
        <v>91</v>
      </c>
      <c r="D29" s="10" t="n">
        <v>1</v>
      </c>
      <c r="E29" s="10" t="s">
        <v>110</v>
      </c>
      <c r="F29" s="10" t="s">
        <v>114</v>
      </c>
      <c r="G29" s="11" t="s">
        <v>215</v>
      </c>
      <c r="H29" s="11" t="s">
        <v>216</v>
      </c>
      <c r="I29" s="12" t="n">
        <v>5</v>
      </c>
      <c r="J29" s="12"/>
      <c r="K29" s="12"/>
      <c r="L29" s="12"/>
      <c r="M29" s="12"/>
      <c r="N29" s="12"/>
      <c r="O29" s="12"/>
      <c r="P29" s="12"/>
      <c r="Q29" s="12"/>
      <c r="R29" s="12"/>
      <c r="S29" s="12" t="n">
        <v>1</v>
      </c>
      <c r="T29" s="12"/>
      <c r="U29" s="12"/>
      <c r="V29" s="12"/>
      <c r="W29" s="12"/>
      <c r="X29" s="11"/>
      <c r="Y29" s="10" t="n">
        <f aca="false">ROUND((I29*Rules!$B$28+J29*Rules!$B$28*Rules!$B$24+K29*Rules!$B$29+L29*Rules!$B$30+M29*Rules!$B$31+N29*Rules!$B$32+(O29*Rules!$B$33+P29*Rules!$B$34+Q29*Rules!$B$35)*IF(R29="Y",Rules!$B$24,1)+S29*Rules!$B$36-T29*Rules!$B$37+IF(V29="Y",Rules!$B$38,0)+W29)*IF(C29="Power",Rules!$B$23,1),2)</f>
        <v>9</v>
      </c>
      <c r="Z29" s="10" t="n">
        <f aca="false">ROUND((D29*Rules!$B$16+Rules!$B$17+IF(E29="Legendary",Rules!$B$21,IF(E29="Rare",Rules!$B$20,IF(E29="Uncommon",Rules!$B$19,Rules!$B$18))))*IF(U29="Y",Rules!$B$22,1),2)</f>
        <v>9</v>
      </c>
      <c r="AA29" s="10" t="n">
        <f aca="false">Y29-Z29</f>
        <v>0</v>
      </c>
      <c r="AB29" s="10" t="str">
        <f aca="false">IF(E29="Starter",IF(AA29&lt;0,"Starter (under on purpose)","Starter too strong"),IF(ABS(AA29)&lt;=Rules!$B$25,"Balanced",IF(AA29&gt;0,"Over budget","Under budget")))</f>
        <v>Balanced</v>
      </c>
    </row>
    <row r="30" customFormat="false" ht="15" hidden="false" customHeight="false" outlineLevel="0" collapsed="false">
      <c r="A30" s="10" t="s">
        <v>217</v>
      </c>
      <c r="B30" s="10" t="s">
        <v>218</v>
      </c>
      <c r="C30" s="10" t="s">
        <v>91</v>
      </c>
      <c r="D30" s="10" t="n">
        <v>1</v>
      </c>
      <c r="E30" s="10" t="s">
        <v>110</v>
      </c>
      <c r="F30" s="10" t="s">
        <v>114</v>
      </c>
      <c r="G30" s="11" t="s">
        <v>219</v>
      </c>
      <c r="H30" s="11" t="s">
        <v>220</v>
      </c>
      <c r="I30" s="12" t="n">
        <v>6</v>
      </c>
      <c r="J30" s="12"/>
      <c r="K30" s="12"/>
      <c r="L30" s="12"/>
      <c r="M30" s="12"/>
      <c r="N30" s="12"/>
      <c r="O30" s="12" t="n">
        <v>1</v>
      </c>
      <c r="P30" s="12"/>
      <c r="Q30" s="12"/>
      <c r="R30" s="12"/>
      <c r="S30" s="12"/>
      <c r="T30" s="12"/>
      <c r="U30" s="12"/>
      <c r="V30" s="12"/>
      <c r="W30" s="12"/>
      <c r="X30" s="11"/>
      <c r="Y30" s="10" t="n">
        <f aca="false">ROUND((I30*Rules!$B$28+J30*Rules!$B$28*Rules!$B$24+K30*Rules!$B$29+L30*Rules!$B$30+M30*Rules!$B$31+N30*Rules!$B$32+(O30*Rules!$B$33+P30*Rules!$B$34+Q30*Rules!$B$35)*IF(R30="Y",Rules!$B$24,1)+S30*Rules!$B$36-T30*Rules!$B$37+IF(V30="Y",Rules!$B$38,0)+W30)*IF(C30="Power",Rules!$B$23,1),2)</f>
        <v>9</v>
      </c>
      <c r="Z30" s="10" t="n">
        <f aca="false">ROUND((D30*Rules!$B$16+Rules!$B$17+IF(E30="Legendary",Rules!$B$21,IF(E30="Rare",Rules!$B$20,IF(E30="Uncommon",Rules!$B$19,Rules!$B$18))))*IF(U30="Y",Rules!$B$22,1),2)</f>
        <v>9</v>
      </c>
      <c r="AA30" s="10" t="n">
        <f aca="false">Y30-Z30</f>
        <v>0</v>
      </c>
      <c r="AB30" s="10" t="str">
        <f aca="false">IF(E30="Starter",IF(AA30&lt;0,"Starter (under on purpose)","Starter too strong"),IF(ABS(AA30)&lt;=Rules!$B$25,"Balanced",IF(AA30&gt;0,"Over budget","Under budget")))</f>
        <v>Balanced</v>
      </c>
    </row>
    <row r="31" customFormat="false" ht="77.6" hidden="false" customHeight="false" outlineLevel="0" collapsed="false">
      <c r="A31" s="10" t="s">
        <v>221</v>
      </c>
      <c r="B31" s="10" t="s">
        <v>222</v>
      </c>
      <c r="C31" s="10" t="s">
        <v>91</v>
      </c>
      <c r="D31" s="10" t="n">
        <v>1</v>
      </c>
      <c r="E31" s="10" t="s">
        <v>110</v>
      </c>
      <c r="F31" s="10" t="s">
        <v>114</v>
      </c>
      <c r="G31" s="11" t="s">
        <v>223</v>
      </c>
      <c r="H31" s="11" t="s">
        <v>224</v>
      </c>
      <c r="I31" s="12" t="n">
        <v>8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 t="n">
        <v>1</v>
      </c>
      <c r="X31" s="11" t="s">
        <v>225</v>
      </c>
      <c r="Y31" s="10" t="n">
        <f aca="false">ROUND((I31*Rules!$B$28+J31*Rules!$B$28*Rules!$B$24+K31*Rules!$B$29+L31*Rules!$B$30+M31*Rules!$B$31+N31*Rules!$B$32+(O31*Rules!$B$33+P31*Rules!$B$34+Q31*Rules!$B$35)*IF(R31="Y",Rules!$B$24,1)+S31*Rules!$B$36-T31*Rules!$B$37+IF(V31="Y",Rules!$B$38,0)+W31)*IF(C31="Power",Rules!$B$23,1),2)</f>
        <v>9</v>
      </c>
      <c r="Z31" s="10" t="n">
        <f aca="false">ROUND((D31*Rules!$B$16+Rules!$B$17+IF(E31="Legendary",Rules!$B$21,IF(E31="Rare",Rules!$B$20,IF(E31="Uncommon",Rules!$B$19,Rules!$B$18))))*IF(U31="Y",Rules!$B$22,1),2)</f>
        <v>9</v>
      </c>
      <c r="AA31" s="10" t="n">
        <f aca="false">Y31-Z31</f>
        <v>0</v>
      </c>
      <c r="AB31" s="10" t="str">
        <f aca="false">IF(E31="Starter",IF(AA31&lt;0,"Starter (under on purpose)","Starter too strong"),IF(ABS(AA31)&lt;=Rules!$B$25,"Balanced",IF(AA31&gt;0,"Over budget","Under budget")))</f>
        <v>Balanced</v>
      </c>
    </row>
    <row r="32" customFormat="false" ht="77.6" hidden="false" customHeight="false" outlineLevel="0" collapsed="false">
      <c r="A32" s="10" t="s">
        <v>226</v>
      </c>
      <c r="B32" s="10" t="s">
        <v>227</v>
      </c>
      <c r="C32" s="10" t="s">
        <v>91</v>
      </c>
      <c r="D32" s="10" t="n">
        <v>0</v>
      </c>
      <c r="E32" s="10" t="s">
        <v>110</v>
      </c>
      <c r="F32" s="10" t="s">
        <v>114</v>
      </c>
      <c r="G32" s="11" t="s">
        <v>228</v>
      </c>
      <c r="H32" s="11" t="s">
        <v>229</v>
      </c>
      <c r="I32" s="12" t="n">
        <v>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1" t="s">
        <v>230</v>
      </c>
      <c r="Y32" s="10" t="n">
        <f aca="false">ROUND((I32*Rules!$B$28+J32*Rules!$B$28*Rules!$B$24+K32*Rules!$B$29+L32*Rules!$B$30+M32*Rules!$B$31+N32*Rules!$B$32+(O32*Rules!$B$33+P32*Rules!$B$34+Q32*Rules!$B$35)*IF(R32="Y",Rules!$B$24,1)+S32*Rules!$B$36-T32*Rules!$B$37+IF(V32="Y",Rules!$B$38,0)+W32)*IF(C32="Power",Rules!$B$23,1),2)</f>
        <v>4</v>
      </c>
      <c r="Z32" s="10" t="n">
        <f aca="false">ROUND((D32*Rules!$B$16+Rules!$B$17+IF(E32="Legendary",Rules!$B$21,IF(E32="Rare",Rules!$B$20,IF(E32="Uncommon",Rules!$B$19,Rules!$B$18))))*IF(U32="Y",Rules!$B$22,1),2)</f>
        <v>3</v>
      </c>
      <c r="AA32" s="10" t="n">
        <f aca="false">Y32-Z32</f>
        <v>1</v>
      </c>
      <c r="AB32" s="10" t="str">
        <f aca="false">IF(E32="Starter",IF(AA32&lt;0,"Starter (under on purpose)","Starter too strong"),IF(ABS(AA32)&lt;=Rules!$B$25,"Balanced",IF(AA32&gt;0,"Over budget","Under budget")))</f>
        <v>Balanced</v>
      </c>
    </row>
    <row r="33" customFormat="false" ht="15" hidden="false" customHeight="false" outlineLevel="0" collapsed="false">
      <c r="A33" s="10" t="s">
        <v>231</v>
      </c>
      <c r="B33" s="10" t="s">
        <v>232</v>
      </c>
      <c r="C33" s="10" t="s">
        <v>91</v>
      </c>
      <c r="D33" s="10" t="n">
        <v>2</v>
      </c>
      <c r="E33" s="10" t="s">
        <v>110</v>
      </c>
      <c r="F33" s="10" t="s">
        <v>114</v>
      </c>
      <c r="G33" s="11" t="s">
        <v>233</v>
      </c>
      <c r="H33" s="11" t="s">
        <v>234</v>
      </c>
      <c r="I33" s="12" t="n">
        <v>10</v>
      </c>
      <c r="J33" s="12"/>
      <c r="K33" s="12"/>
      <c r="L33" s="12"/>
      <c r="M33" s="12"/>
      <c r="N33" s="12"/>
      <c r="O33" s="12"/>
      <c r="P33" s="12"/>
      <c r="Q33" s="12"/>
      <c r="R33" s="12"/>
      <c r="S33" s="12" t="n">
        <v>1</v>
      </c>
      <c r="T33" s="12"/>
      <c r="U33" s="12"/>
      <c r="V33" s="12"/>
      <c r="W33" s="12"/>
      <c r="X33" s="11"/>
      <c r="Y33" s="10" t="n">
        <f aca="false">ROUND((I33*Rules!$B$28+J33*Rules!$B$28*Rules!$B$24+K33*Rules!$B$29+L33*Rules!$B$30+M33*Rules!$B$31+N33*Rules!$B$32+(O33*Rules!$B$33+P33*Rules!$B$34+Q33*Rules!$B$35)*IF(R33="Y",Rules!$B$24,1)+S33*Rules!$B$36-T33*Rules!$B$37+IF(V33="Y",Rules!$B$38,0)+W33)*IF(C33="Power",Rules!$B$23,1),2)</f>
        <v>14</v>
      </c>
      <c r="Z33" s="10" t="n">
        <f aca="false">ROUND((D33*Rules!$B$16+Rules!$B$17+IF(E33="Legendary",Rules!$B$21,IF(E33="Rare",Rules!$B$20,IF(E33="Uncommon",Rules!$B$19,Rules!$B$18))))*IF(U33="Y",Rules!$B$22,1),2)</f>
        <v>15</v>
      </c>
      <c r="AA33" s="10" t="n">
        <f aca="false">Y33-Z33</f>
        <v>-1</v>
      </c>
      <c r="AB33" s="10" t="str">
        <f aca="false">IF(E33="Starter",IF(AA33&lt;0,"Starter (under on purpose)","Starter too strong"),IF(ABS(AA33)&lt;=Rules!$B$25,"Balanced",IF(AA33&gt;0,"Over budget","Under budget")))</f>
        <v>Balanced</v>
      </c>
    </row>
    <row r="34" customFormat="false" ht="15" hidden="false" customHeight="false" outlineLevel="0" collapsed="false">
      <c r="A34" s="10" t="s">
        <v>235</v>
      </c>
      <c r="B34" s="10" t="s">
        <v>236</v>
      </c>
      <c r="C34" s="10" t="s">
        <v>91</v>
      </c>
      <c r="D34" s="10" t="n">
        <v>1</v>
      </c>
      <c r="E34" s="10" t="s">
        <v>110</v>
      </c>
      <c r="F34" s="10" t="s">
        <v>114</v>
      </c>
      <c r="G34" s="11" t="s">
        <v>237</v>
      </c>
      <c r="H34" s="11" t="s">
        <v>238</v>
      </c>
      <c r="I34" s="12" t="n"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 t="n">
        <v>1</v>
      </c>
      <c r="U34" s="12"/>
      <c r="V34" s="12"/>
      <c r="W34" s="12"/>
      <c r="X34" s="11"/>
      <c r="Y34" s="10" t="n">
        <f aca="false">ROUND((I34*Rules!$B$28+J34*Rules!$B$28*Rules!$B$24+K34*Rules!$B$29+L34*Rules!$B$30+M34*Rules!$B$31+N34*Rules!$B$32+(O34*Rules!$B$33+P34*Rules!$B$34+Q34*Rules!$B$35)*IF(R34="Y",Rules!$B$24,1)+S34*Rules!$B$36-T34*Rules!$B$37+IF(V34="Y",Rules!$B$38,0)+W34)*IF(C34="Power",Rules!$B$23,1),2)</f>
        <v>8.5</v>
      </c>
      <c r="Z34" s="10" t="n">
        <f aca="false">ROUND((D34*Rules!$B$16+Rules!$B$17+IF(E34="Legendary",Rules!$B$21,IF(E34="Rare",Rules!$B$20,IF(E34="Uncommon",Rules!$B$19,Rules!$B$18))))*IF(U34="Y",Rules!$B$22,1),2)</f>
        <v>9</v>
      </c>
      <c r="AA34" s="10" t="n">
        <f aca="false">Y34-Z34</f>
        <v>-0.5</v>
      </c>
      <c r="AB34" s="10" t="str">
        <f aca="false">IF(E34="Starter",IF(AA34&lt;0,"Starter (under on purpose)","Starter too strong"),IF(ABS(AA34)&lt;=Rules!$B$25,"Balanced",IF(AA34&gt;0,"Over budget","Under budget")))</f>
        <v>Balanced</v>
      </c>
    </row>
    <row r="35" customFormat="false" ht="15" hidden="false" customHeight="false" outlineLevel="0" collapsed="false">
      <c r="A35" s="10" t="s">
        <v>239</v>
      </c>
      <c r="B35" s="10" t="s">
        <v>240</v>
      </c>
      <c r="C35" s="10" t="s">
        <v>99</v>
      </c>
      <c r="D35" s="10" t="n">
        <v>1</v>
      </c>
      <c r="E35" s="10" t="s">
        <v>110</v>
      </c>
      <c r="F35" s="10" t="s">
        <v>114</v>
      </c>
      <c r="G35" s="11" t="s">
        <v>241</v>
      </c>
      <c r="H35" s="11" t="s">
        <v>242</v>
      </c>
      <c r="I35" s="12"/>
      <c r="J35" s="12"/>
      <c r="K35" s="12" t="n">
        <v>4</v>
      </c>
      <c r="L35" s="12"/>
      <c r="M35" s="12"/>
      <c r="N35" s="12"/>
      <c r="O35" s="12"/>
      <c r="P35" s="12"/>
      <c r="Q35" s="12"/>
      <c r="R35" s="12"/>
      <c r="S35" s="12" t="n">
        <v>1</v>
      </c>
      <c r="T35" s="12"/>
      <c r="U35" s="12"/>
      <c r="V35" s="12"/>
      <c r="W35" s="12"/>
      <c r="X35" s="11"/>
      <c r="Y35" s="10" t="n">
        <f aca="false">ROUND((I35*Rules!$B$28+J35*Rules!$B$28*Rules!$B$24+K35*Rules!$B$29+L35*Rules!$B$30+M35*Rules!$B$31+N35*Rules!$B$32+(O35*Rules!$B$33+P35*Rules!$B$34+Q35*Rules!$B$35)*IF(R35="Y",Rules!$B$24,1)+S35*Rules!$B$36-T35*Rules!$B$37+IF(V35="Y",Rules!$B$38,0)+W35)*IF(C35="Power",Rules!$B$23,1),2)</f>
        <v>8.8</v>
      </c>
      <c r="Z35" s="10" t="n">
        <f aca="false">ROUND((D35*Rules!$B$16+Rules!$B$17+IF(E35="Legendary",Rules!$B$21,IF(E35="Rare",Rules!$B$20,IF(E35="Uncommon",Rules!$B$19,Rules!$B$18))))*IF(U35="Y",Rules!$B$22,1),2)</f>
        <v>9</v>
      </c>
      <c r="AA35" s="10" t="n">
        <f aca="false">Y35-Z35</f>
        <v>-0.199999999999999</v>
      </c>
      <c r="AB35" s="10" t="str">
        <f aca="false">IF(E35="Starter",IF(AA35&lt;0,"Starter (under on purpose)","Starter too strong"),IF(ABS(AA35)&lt;=Rules!$B$25,"Balanced",IF(AA35&gt;0,"Over budget","Under budget")))</f>
        <v>Balanced</v>
      </c>
    </row>
    <row r="36" customFormat="false" ht="77.6" hidden="false" customHeight="false" outlineLevel="0" collapsed="false">
      <c r="A36" s="10" t="s">
        <v>243</v>
      </c>
      <c r="B36" s="10" t="s">
        <v>244</v>
      </c>
      <c r="C36" s="10" t="s">
        <v>91</v>
      </c>
      <c r="D36" s="10" t="n">
        <v>1</v>
      </c>
      <c r="E36" s="10" t="s">
        <v>110</v>
      </c>
      <c r="F36" s="10" t="s">
        <v>114</v>
      </c>
      <c r="G36" s="11" t="s">
        <v>245</v>
      </c>
      <c r="H36" s="11" t="s">
        <v>246</v>
      </c>
      <c r="I36" s="12" t="n">
        <v>12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 t="n">
        <v>-3</v>
      </c>
      <c r="X36" s="11" t="s">
        <v>247</v>
      </c>
      <c r="Y36" s="10" t="n">
        <f aca="false">ROUND((I36*Rules!$B$28+J36*Rules!$B$28*Rules!$B$24+K36*Rules!$B$29+L36*Rules!$B$30+M36*Rules!$B$31+N36*Rules!$B$32+(O36*Rules!$B$33+P36*Rules!$B$34+Q36*Rules!$B$35)*IF(R36="Y",Rules!$B$24,1)+S36*Rules!$B$36-T36*Rules!$B$37+IF(V36="Y",Rules!$B$38,0)+W36)*IF(C36="Power",Rules!$B$23,1),2)</f>
        <v>9</v>
      </c>
      <c r="Z36" s="10" t="n">
        <f aca="false">ROUND((D36*Rules!$B$16+Rules!$B$17+IF(E36="Legendary",Rules!$B$21,IF(E36="Rare",Rules!$B$20,IF(E36="Uncommon",Rules!$B$19,Rules!$B$18))))*IF(U36="Y",Rules!$B$22,1),2)</f>
        <v>9</v>
      </c>
      <c r="AA36" s="10" t="n">
        <f aca="false">Y36-Z36</f>
        <v>0</v>
      </c>
      <c r="AB36" s="10" t="str">
        <f aca="false">IF(E36="Starter",IF(AA36&lt;0,"Starter (under on purpose)","Starter too strong"),IF(ABS(AA36)&lt;=Rules!$B$25,"Balanced",IF(AA36&gt;0,"Over budget","Under budget")))</f>
        <v>Balanced</v>
      </c>
    </row>
    <row r="37" customFormat="false" ht="15" hidden="false" customHeight="false" outlineLevel="0" collapsed="false">
      <c r="A37" s="10" t="s">
        <v>248</v>
      </c>
      <c r="B37" s="10" t="s">
        <v>249</v>
      </c>
      <c r="C37" s="10" t="s">
        <v>99</v>
      </c>
      <c r="D37" s="10" t="n">
        <v>1</v>
      </c>
      <c r="E37" s="10" t="s">
        <v>110</v>
      </c>
      <c r="F37" s="10" t="s">
        <v>138</v>
      </c>
      <c r="G37" s="11" t="s">
        <v>250</v>
      </c>
      <c r="H37" s="11" t="s">
        <v>251</v>
      </c>
      <c r="I37" s="12"/>
      <c r="J37" s="12"/>
      <c r="K37" s="12" t="n">
        <v>6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 t="s">
        <v>174</v>
      </c>
      <c r="W37" s="12"/>
      <c r="X37" s="11"/>
      <c r="Y37" s="10" t="n">
        <f aca="false">ROUND((I37*Rules!$B$28+J37*Rules!$B$28*Rules!$B$24+K37*Rules!$B$29+L37*Rules!$B$30+M37*Rules!$B$31+N37*Rules!$B$32+(O37*Rules!$B$33+P37*Rules!$B$34+Q37*Rules!$B$35)*IF(R37="Y",Rules!$B$24,1)+S37*Rules!$B$36-T37*Rules!$B$37+IF(V37="Y",Rules!$B$38,0)+W37)*IF(C37="Power",Rules!$B$23,1),2)</f>
        <v>9.2</v>
      </c>
      <c r="Z37" s="10" t="n">
        <f aca="false">ROUND((D37*Rules!$B$16+Rules!$B$17+IF(E37="Legendary",Rules!$B$21,IF(E37="Rare",Rules!$B$20,IF(E37="Uncommon",Rules!$B$19,Rules!$B$18))))*IF(U37="Y",Rules!$B$22,1),2)</f>
        <v>9</v>
      </c>
      <c r="AA37" s="10" t="n">
        <f aca="false">Y37-Z37</f>
        <v>0.199999999999999</v>
      </c>
      <c r="AB37" s="10" t="str">
        <f aca="false">IF(E37="Starter",IF(AA37&lt;0,"Starter (under on purpose)","Starter too strong"),IF(ABS(AA37)&lt;=Rules!$B$25,"Balanced",IF(AA37&gt;0,"Over budget","Under budget")))</f>
        <v>Balanced</v>
      </c>
    </row>
    <row r="38" customFormat="false" ht="141" hidden="false" customHeight="false" outlineLevel="0" collapsed="false">
      <c r="A38" s="10" t="s">
        <v>252</v>
      </c>
      <c r="B38" s="10" t="s">
        <v>253</v>
      </c>
      <c r="C38" s="10" t="s">
        <v>91</v>
      </c>
      <c r="D38" s="10" t="n">
        <v>1</v>
      </c>
      <c r="E38" s="10" t="s">
        <v>110</v>
      </c>
      <c r="F38" s="10" t="s">
        <v>138</v>
      </c>
      <c r="G38" s="11" t="s">
        <v>254</v>
      </c>
      <c r="H38" s="11" t="s">
        <v>255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 t="n">
        <v>8</v>
      </c>
      <c r="X38" s="11" t="s">
        <v>256</v>
      </c>
      <c r="Y38" s="10" t="n">
        <f aca="false">ROUND((I38*Rules!$B$28+J38*Rules!$B$28*Rules!$B$24+K38*Rules!$B$29+L38*Rules!$B$30+M38*Rules!$B$31+N38*Rules!$B$32+(O38*Rules!$B$33+P38*Rules!$B$34+Q38*Rules!$B$35)*IF(R38="Y",Rules!$B$24,1)+S38*Rules!$B$36-T38*Rules!$B$37+IF(V38="Y",Rules!$B$38,0)+W38)*IF(C38="Power",Rules!$B$23,1),2)</f>
        <v>8</v>
      </c>
      <c r="Z38" s="10" t="n">
        <f aca="false">ROUND((D38*Rules!$B$16+Rules!$B$17+IF(E38="Legendary",Rules!$B$21,IF(E38="Rare",Rules!$B$20,IF(E38="Uncommon",Rules!$B$19,Rules!$B$18))))*IF(U38="Y",Rules!$B$22,1),2)</f>
        <v>9</v>
      </c>
      <c r="AA38" s="10" t="n">
        <f aca="false">Y38-Z38</f>
        <v>-1</v>
      </c>
      <c r="AB38" s="10" t="str">
        <f aca="false">IF(E38="Starter",IF(AA38&lt;0,"Starter (under on purpose)","Starter too strong"),IF(ABS(AA38)&lt;=Rules!$B$25,"Balanced",IF(AA38&gt;0,"Over budget","Under budget")))</f>
        <v>Balanced</v>
      </c>
    </row>
    <row r="39" customFormat="false" ht="26.85" hidden="false" customHeight="false" outlineLevel="0" collapsed="false">
      <c r="A39" s="10" t="s">
        <v>257</v>
      </c>
      <c r="B39" s="10" t="s">
        <v>258</v>
      </c>
      <c r="C39" s="10" t="s">
        <v>99</v>
      </c>
      <c r="D39" s="10" t="n">
        <v>2</v>
      </c>
      <c r="E39" s="10" t="s">
        <v>110</v>
      </c>
      <c r="F39" s="10" t="s">
        <v>138</v>
      </c>
      <c r="G39" s="11" t="s">
        <v>259</v>
      </c>
      <c r="H39" s="11" t="s">
        <v>260</v>
      </c>
      <c r="I39" s="12"/>
      <c r="J39" s="12"/>
      <c r="K39" s="12" t="n">
        <v>9</v>
      </c>
      <c r="L39" s="12"/>
      <c r="M39" s="12"/>
      <c r="N39" s="12"/>
      <c r="O39" s="12" t="n">
        <v>1</v>
      </c>
      <c r="P39" s="12"/>
      <c r="Q39" s="12"/>
      <c r="R39" s="12" t="s">
        <v>174</v>
      </c>
      <c r="S39" s="12"/>
      <c r="T39" s="12"/>
      <c r="U39" s="12"/>
      <c r="V39" s="12"/>
      <c r="W39" s="12"/>
      <c r="X39" s="11"/>
      <c r="Y39" s="10" t="n">
        <f aca="false">ROUND((I39*Rules!$B$28+J39*Rules!$B$28*Rules!$B$24+K39*Rules!$B$29+L39*Rules!$B$30+M39*Rules!$B$31+N39*Rules!$B$32+(O39*Rules!$B$33+P39*Rules!$B$34+Q39*Rules!$B$35)*IF(R39="Y",Rules!$B$24,1)+S39*Rules!$B$36-T39*Rules!$B$37+IF(V39="Y",Rules!$B$38,0)+W39)*IF(C39="Power",Rules!$B$23,1),2)</f>
        <v>15.3</v>
      </c>
      <c r="Z39" s="10" t="n">
        <f aca="false">ROUND((D39*Rules!$B$16+Rules!$B$17+IF(E39="Legendary",Rules!$B$21,IF(E39="Rare",Rules!$B$20,IF(E39="Uncommon",Rules!$B$19,Rules!$B$18))))*IF(U39="Y",Rules!$B$22,1),2)</f>
        <v>15</v>
      </c>
      <c r="AA39" s="10" t="n">
        <f aca="false">Y39-Z39</f>
        <v>0.300000000000001</v>
      </c>
      <c r="AB39" s="10" t="str">
        <f aca="false">IF(E39="Starter",IF(AA39&lt;0,"Starter (under on purpose)","Starter too strong"),IF(ABS(AA39)&lt;=Rules!$B$25,"Balanced",IF(AA39&gt;0,"Over budget","Under budget")))</f>
        <v>Balanced</v>
      </c>
    </row>
    <row r="40" customFormat="false" ht="15" hidden="false" customHeight="false" outlineLevel="0" collapsed="false">
      <c r="A40" s="10" t="s">
        <v>261</v>
      </c>
      <c r="B40" s="10" t="s">
        <v>262</v>
      </c>
      <c r="C40" s="10" t="s">
        <v>99</v>
      </c>
      <c r="D40" s="10" t="n">
        <v>0</v>
      </c>
      <c r="E40" s="10" t="s">
        <v>110</v>
      </c>
      <c r="F40" s="10" t="s">
        <v>138</v>
      </c>
      <c r="G40" s="11" t="s">
        <v>263</v>
      </c>
      <c r="H40" s="11" t="s">
        <v>100</v>
      </c>
      <c r="I40" s="12"/>
      <c r="J40" s="12"/>
      <c r="K40" s="12" t="n">
        <v>3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1"/>
      <c r="Y40" s="10" t="n">
        <f aca="false">ROUND((I40*Rules!$B$28+J40*Rules!$B$28*Rules!$B$24+K40*Rules!$B$29+L40*Rules!$B$30+M40*Rules!$B$31+N40*Rules!$B$32+(O40*Rules!$B$33+P40*Rules!$B$34+Q40*Rules!$B$35)*IF(R40="Y",Rules!$B$24,1)+S40*Rules!$B$36-T40*Rules!$B$37+IF(V40="Y",Rules!$B$38,0)+W40)*IF(C40="Power",Rules!$B$23,1),2)</f>
        <v>3.6</v>
      </c>
      <c r="Z40" s="10" t="n">
        <f aca="false">ROUND((D40*Rules!$B$16+Rules!$B$17+IF(E40="Legendary",Rules!$B$21,IF(E40="Rare",Rules!$B$20,IF(E40="Uncommon",Rules!$B$19,Rules!$B$18))))*IF(U40="Y",Rules!$B$22,1),2)</f>
        <v>3</v>
      </c>
      <c r="AA40" s="10" t="n">
        <f aca="false">Y40-Z40</f>
        <v>0.6</v>
      </c>
      <c r="AB40" s="10" t="str">
        <f aca="false">IF(E40="Starter",IF(AA40&lt;0,"Starter (under on purpose)","Starter too strong"),IF(ABS(AA40)&lt;=Rules!$B$25,"Balanced",IF(AA40&gt;0,"Over budget","Under budget")))</f>
        <v>Balanced</v>
      </c>
    </row>
    <row r="41" customFormat="false" ht="15" hidden="false" customHeight="false" outlineLevel="0" collapsed="false">
      <c r="A41" s="10" t="s">
        <v>264</v>
      </c>
      <c r="B41" s="10" t="s">
        <v>265</v>
      </c>
      <c r="C41" s="10" t="s">
        <v>91</v>
      </c>
      <c r="D41" s="10" t="n">
        <v>1</v>
      </c>
      <c r="E41" s="10" t="s">
        <v>110</v>
      </c>
      <c r="F41" s="10" t="s">
        <v>138</v>
      </c>
      <c r="G41" s="11" t="s">
        <v>266</v>
      </c>
      <c r="H41" s="11" t="s">
        <v>267</v>
      </c>
      <c r="I41" s="12" t="n">
        <v>3</v>
      </c>
      <c r="J41" s="12"/>
      <c r="K41" s="12" t="n">
        <v>5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1"/>
      <c r="Y41" s="10" t="n">
        <f aca="false">ROUND((I41*Rules!$B$28+J41*Rules!$B$28*Rules!$B$24+K41*Rules!$B$29+L41*Rules!$B$30+M41*Rules!$B$31+N41*Rules!$B$32+(O41*Rules!$B$33+P41*Rules!$B$34+Q41*Rules!$B$35)*IF(R41="Y",Rules!$B$24,1)+S41*Rules!$B$36-T41*Rules!$B$37+IF(V41="Y",Rules!$B$38,0)+W41)*IF(C41="Power",Rules!$B$23,1),2)</f>
        <v>9</v>
      </c>
      <c r="Z41" s="10" t="n">
        <f aca="false">ROUND((D41*Rules!$B$16+Rules!$B$17+IF(E41="Legendary",Rules!$B$21,IF(E41="Rare",Rules!$B$20,IF(E41="Uncommon",Rules!$B$19,Rules!$B$18))))*IF(U41="Y",Rules!$B$22,1),2)</f>
        <v>9</v>
      </c>
      <c r="AA41" s="10" t="n">
        <f aca="false">Y41-Z41</f>
        <v>0</v>
      </c>
      <c r="AB41" s="10" t="str">
        <f aca="false">IF(E41="Starter",IF(AA41&lt;0,"Starter (under on purpose)","Starter too strong"),IF(ABS(AA41)&lt;=Rules!$B$25,"Balanced",IF(AA41&gt;0,"Over budget","Under budget")))</f>
        <v>Balanced</v>
      </c>
    </row>
    <row r="42" customFormat="false" ht="64.9" hidden="false" customHeight="false" outlineLevel="0" collapsed="false">
      <c r="A42" s="10" t="s">
        <v>268</v>
      </c>
      <c r="B42" s="10" t="s">
        <v>269</v>
      </c>
      <c r="C42" s="10" t="s">
        <v>99</v>
      </c>
      <c r="D42" s="10" t="n">
        <v>1</v>
      </c>
      <c r="E42" s="10" t="s">
        <v>110</v>
      </c>
      <c r="F42" s="10" t="s">
        <v>138</v>
      </c>
      <c r="G42" s="11" t="s">
        <v>270</v>
      </c>
      <c r="H42" s="11" t="s">
        <v>271</v>
      </c>
      <c r="I42" s="12"/>
      <c r="J42" s="12"/>
      <c r="K42" s="12" t="n">
        <v>8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 t="s">
        <v>272</v>
      </c>
      <c r="Y42" s="10" t="n">
        <f aca="false">ROUND((I42*Rules!$B$28+J42*Rules!$B$28*Rules!$B$24+K42*Rules!$B$29+L42*Rules!$B$30+M42*Rules!$B$31+N42*Rules!$B$32+(O42*Rules!$B$33+P42*Rules!$B$34+Q42*Rules!$B$35)*IF(R42="Y",Rules!$B$24,1)+S42*Rules!$B$36-T42*Rules!$B$37+IF(V42="Y",Rules!$B$38,0)+W42)*IF(C42="Power",Rules!$B$23,1),2)</f>
        <v>9.6</v>
      </c>
      <c r="Z42" s="10" t="n">
        <f aca="false">ROUND((D42*Rules!$B$16+Rules!$B$17+IF(E42="Legendary",Rules!$B$21,IF(E42="Rare",Rules!$B$20,IF(E42="Uncommon",Rules!$B$19,Rules!$B$18))))*IF(U42="Y",Rules!$B$22,1),2)</f>
        <v>9</v>
      </c>
      <c r="AA42" s="10" t="n">
        <f aca="false">Y42-Z42</f>
        <v>0.6</v>
      </c>
      <c r="AB42" s="10" t="str">
        <f aca="false">IF(E42="Starter",IF(AA42&lt;0,"Starter (under on purpose)","Starter too strong"),IF(ABS(AA42)&lt;=Rules!$B$25,"Balanced",IF(AA42&gt;0,"Over budget","Under budget")))</f>
        <v>Balanced</v>
      </c>
    </row>
    <row r="43" customFormat="false" ht="115.65" hidden="false" customHeight="false" outlineLevel="0" collapsed="false">
      <c r="A43" s="10" t="s">
        <v>273</v>
      </c>
      <c r="B43" s="10" t="s">
        <v>274</v>
      </c>
      <c r="C43" s="10" t="s">
        <v>99</v>
      </c>
      <c r="D43" s="10" t="n">
        <v>1</v>
      </c>
      <c r="E43" s="10" t="s">
        <v>110</v>
      </c>
      <c r="F43" s="10" t="s">
        <v>138</v>
      </c>
      <c r="G43" s="11" t="s">
        <v>275</v>
      </c>
      <c r="H43" s="11" t="s">
        <v>276</v>
      </c>
      <c r="I43" s="12"/>
      <c r="J43" s="12"/>
      <c r="K43" s="12" t="n">
        <v>4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 t="n">
        <v>4</v>
      </c>
      <c r="X43" s="11" t="s">
        <v>277</v>
      </c>
      <c r="Y43" s="10" t="n">
        <f aca="false">ROUND((I43*Rules!$B$28+J43*Rules!$B$28*Rules!$B$24+K43*Rules!$B$29+L43*Rules!$B$30+M43*Rules!$B$31+N43*Rules!$B$32+(O43*Rules!$B$33+P43*Rules!$B$34+Q43*Rules!$B$35)*IF(R43="Y",Rules!$B$24,1)+S43*Rules!$B$36-T43*Rules!$B$37+IF(V43="Y",Rules!$B$38,0)+W43)*IF(C43="Power",Rules!$B$23,1),2)</f>
        <v>8.8</v>
      </c>
      <c r="Z43" s="10" t="n">
        <f aca="false">ROUND((D43*Rules!$B$16+Rules!$B$17+IF(E43="Legendary",Rules!$B$21,IF(E43="Rare",Rules!$B$20,IF(E43="Uncommon",Rules!$B$19,Rules!$B$18))))*IF(U43="Y",Rules!$B$22,1),2)</f>
        <v>9</v>
      </c>
      <c r="AA43" s="10" t="n">
        <f aca="false">Y43-Z43</f>
        <v>-0.199999999999999</v>
      </c>
      <c r="AB43" s="10" t="str">
        <f aca="false">IF(E43="Starter",IF(AA43&lt;0,"Starter (under on purpose)","Starter too strong"),IF(ABS(AA43)&lt;=Rules!$B$25,"Balanced",IF(AA43&gt;0,"Over budget","Under budget")))</f>
        <v>Balanced</v>
      </c>
    </row>
    <row r="44" customFormat="false" ht="15" hidden="false" customHeight="false" outlineLevel="0" collapsed="false">
      <c r="A44" s="10" t="s">
        <v>278</v>
      </c>
      <c r="B44" s="10" t="s">
        <v>279</v>
      </c>
      <c r="C44" s="10" t="s">
        <v>99</v>
      </c>
      <c r="D44" s="10" t="n">
        <v>0</v>
      </c>
      <c r="E44" s="10" t="s">
        <v>110</v>
      </c>
      <c r="F44" s="10" t="s">
        <v>138</v>
      </c>
      <c r="G44" s="11" t="s">
        <v>280</v>
      </c>
      <c r="H44" s="11" t="s">
        <v>281</v>
      </c>
      <c r="I44" s="12"/>
      <c r="J44" s="12"/>
      <c r="K44" s="12" t="n">
        <v>4</v>
      </c>
      <c r="L44" s="12"/>
      <c r="M44" s="12"/>
      <c r="N44" s="12"/>
      <c r="O44" s="12"/>
      <c r="P44" s="12"/>
      <c r="Q44" s="12"/>
      <c r="R44" s="12"/>
      <c r="S44" s="12"/>
      <c r="T44" s="12"/>
      <c r="U44" s="12" t="s">
        <v>174</v>
      </c>
      <c r="V44" s="12"/>
      <c r="W44" s="12"/>
      <c r="X44" s="11"/>
      <c r="Y44" s="10" t="n">
        <f aca="false">ROUND((I44*Rules!$B$28+J44*Rules!$B$28*Rules!$B$24+K44*Rules!$B$29+L44*Rules!$B$30+M44*Rules!$B$31+N44*Rules!$B$32+(O44*Rules!$B$33+P44*Rules!$B$34+Q44*Rules!$B$35)*IF(R44="Y",Rules!$B$24,1)+S44*Rules!$B$36-T44*Rules!$B$37+IF(V44="Y",Rules!$B$38,0)+W44)*IF(C44="Power",Rules!$B$23,1),2)</f>
        <v>4.8</v>
      </c>
      <c r="Z44" s="10" t="n">
        <f aca="false">ROUND((D44*Rules!$B$16+Rules!$B$17+IF(E44="Legendary",Rules!$B$21,IF(E44="Rare",Rules!$B$20,IF(E44="Uncommon",Rules!$B$19,Rules!$B$18))))*IF(U44="Y",Rules!$B$22,1),2)</f>
        <v>3.9</v>
      </c>
      <c r="AA44" s="10" t="n">
        <f aca="false">Y44-Z44</f>
        <v>0.9</v>
      </c>
      <c r="AB44" s="10" t="str">
        <f aca="false">IF(E44="Starter",IF(AA44&lt;0,"Starter (under on purpose)","Starter too strong"),IF(ABS(AA44)&lt;=Rules!$B$25,"Balanced",IF(AA44&gt;0,"Over budget","Under budget")))</f>
        <v>Balanced</v>
      </c>
    </row>
    <row r="45" customFormat="false" ht="15" hidden="false" customHeight="false" outlineLevel="0" collapsed="false">
      <c r="A45" s="10" t="s">
        <v>282</v>
      </c>
      <c r="B45" s="10" t="s">
        <v>283</v>
      </c>
      <c r="C45" s="10" t="s">
        <v>99</v>
      </c>
      <c r="D45" s="10" t="n">
        <v>1</v>
      </c>
      <c r="E45" s="10" t="s">
        <v>110</v>
      </c>
      <c r="F45" s="10" t="s">
        <v>133</v>
      </c>
      <c r="G45" s="11" t="s">
        <v>284</v>
      </c>
      <c r="H45" s="11" t="s">
        <v>285</v>
      </c>
      <c r="I45" s="12"/>
      <c r="J45" s="12"/>
      <c r="K45" s="12"/>
      <c r="L45" s="12"/>
      <c r="M45" s="12"/>
      <c r="N45" s="12"/>
      <c r="O45" s="12"/>
      <c r="P45" s="12"/>
      <c r="Q45" s="12" t="n">
        <v>4</v>
      </c>
      <c r="R45" s="12" t="s">
        <v>174</v>
      </c>
      <c r="S45" s="12"/>
      <c r="T45" s="12"/>
      <c r="U45" s="12"/>
      <c r="V45" s="12"/>
      <c r="W45" s="12"/>
      <c r="X45" s="11"/>
      <c r="Y45" s="10" t="n">
        <f aca="false">ROUND((I45*Rules!$B$28+J45*Rules!$B$28*Rules!$B$24+K45*Rules!$B$29+L45*Rules!$B$30+M45*Rules!$B$31+N45*Rules!$B$32+(O45*Rules!$B$33+P45*Rules!$B$34+Q45*Rules!$B$35)*IF(R45="Y",Rules!$B$24,1)+S45*Rules!$B$36-T45*Rules!$B$37+IF(V45="Y",Rules!$B$38,0)+W45)*IF(C45="Power",Rules!$B$23,1),2)</f>
        <v>9</v>
      </c>
      <c r="Z45" s="10" t="n">
        <f aca="false">ROUND((D45*Rules!$B$16+Rules!$B$17+IF(E45="Legendary",Rules!$B$21,IF(E45="Rare",Rules!$B$20,IF(E45="Uncommon",Rules!$B$19,Rules!$B$18))))*IF(U45="Y",Rules!$B$22,1),2)</f>
        <v>9</v>
      </c>
      <c r="AA45" s="10" t="n">
        <f aca="false">Y45-Z45</f>
        <v>0</v>
      </c>
      <c r="AB45" s="10" t="str">
        <f aca="false">IF(E45="Starter",IF(AA45&lt;0,"Starter (under on purpose)","Starter too strong"),IF(ABS(AA45)&lt;=Rules!$B$25,"Balanced",IF(AA45&gt;0,"Over budget","Under budget")))</f>
        <v>Balanced</v>
      </c>
    </row>
    <row r="46" customFormat="false" ht="15" hidden="false" customHeight="false" outlineLevel="0" collapsed="false">
      <c r="A46" s="10" t="s">
        <v>286</v>
      </c>
      <c r="B46" s="10" t="s">
        <v>287</v>
      </c>
      <c r="C46" s="10" t="s">
        <v>91</v>
      </c>
      <c r="D46" s="10" t="n">
        <v>1</v>
      </c>
      <c r="E46" s="10" t="s">
        <v>110</v>
      </c>
      <c r="F46" s="10" t="s">
        <v>133</v>
      </c>
      <c r="G46" s="11" t="s">
        <v>288</v>
      </c>
      <c r="H46" s="11" t="s">
        <v>289</v>
      </c>
      <c r="I46" s="12" t="n">
        <v>5</v>
      </c>
      <c r="J46" s="12"/>
      <c r="K46" s="12"/>
      <c r="L46" s="12"/>
      <c r="M46" s="12"/>
      <c r="N46" s="12"/>
      <c r="O46" s="12"/>
      <c r="P46" s="12"/>
      <c r="Q46" s="12" t="n">
        <v>3</v>
      </c>
      <c r="R46" s="12"/>
      <c r="S46" s="12"/>
      <c r="T46" s="12"/>
      <c r="U46" s="12"/>
      <c r="V46" s="12"/>
      <c r="W46" s="12"/>
      <c r="X46" s="11"/>
      <c r="Y46" s="10" t="n">
        <f aca="false">ROUND((I46*Rules!$B$28+J46*Rules!$B$28*Rules!$B$24+K46*Rules!$B$29+L46*Rules!$B$30+M46*Rules!$B$31+N46*Rules!$B$32+(O46*Rules!$B$33+P46*Rules!$B$34+Q46*Rules!$B$35)*IF(R46="Y",Rules!$B$24,1)+S46*Rules!$B$36-T46*Rules!$B$37+IF(V46="Y",Rules!$B$38,0)+W46)*IF(C46="Power",Rules!$B$23,1),2)</f>
        <v>9.5</v>
      </c>
      <c r="Z46" s="10" t="n">
        <f aca="false">ROUND((D46*Rules!$B$16+Rules!$B$17+IF(E46="Legendary",Rules!$B$21,IF(E46="Rare",Rules!$B$20,IF(E46="Uncommon",Rules!$B$19,Rules!$B$18))))*IF(U46="Y",Rules!$B$22,1),2)</f>
        <v>9</v>
      </c>
      <c r="AA46" s="10" t="n">
        <f aca="false">Y46-Z46</f>
        <v>0.5</v>
      </c>
      <c r="AB46" s="10" t="str">
        <f aca="false">IF(E46="Starter",IF(AA46&lt;0,"Starter (under on purpose)","Starter too strong"),IF(ABS(AA46)&lt;=Rules!$B$25,"Balanced",IF(AA46&gt;0,"Over budget","Under budget")))</f>
        <v>Balanced</v>
      </c>
    </row>
    <row r="47" customFormat="false" ht="15" hidden="false" customHeight="false" outlineLevel="0" collapsed="false">
      <c r="A47" s="10" t="s">
        <v>290</v>
      </c>
      <c r="B47" s="10" t="s">
        <v>291</v>
      </c>
      <c r="C47" s="10" t="s">
        <v>91</v>
      </c>
      <c r="D47" s="10" t="n">
        <v>0</v>
      </c>
      <c r="E47" s="10" t="s">
        <v>110</v>
      </c>
      <c r="F47" s="10" t="s">
        <v>133</v>
      </c>
      <c r="G47" s="11" t="s">
        <v>292</v>
      </c>
      <c r="H47" s="11" t="s">
        <v>293</v>
      </c>
      <c r="I47" s="12" t="n">
        <v>1</v>
      </c>
      <c r="J47" s="12"/>
      <c r="K47" s="12"/>
      <c r="L47" s="12"/>
      <c r="M47" s="12"/>
      <c r="N47" s="12"/>
      <c r="O47" s="12"/>
      <c r="P47" s="12"/>
      <c r="Q47" s="12" t="n">
        <v>1</v>
      </c>
      <c r="R47" s="12"/>
      <c r="S47" s="12"/>
      <c r="T47" s="12"/>
      <c r="U47" s="12"/>
      <c r="V47" s="12"/>
      <c r="W47" s="12"/>
      <c r="X47" s="11"/>
      <c r="Y47" s="10" t="n">
        <f aca="false">ROUND((I47*Rules!$B$28+J47*Rules!$B$28*Rules!$B$24+K47*Rules!$B$29+L47*Rules!$B$30+M47*Rules!$B$31+N47*Rules!$B$32+(O47*Rules!$B$33+P47*Rules!$B$34+Q47*Rules!$B$35)*IF(R47="Y",Rules!$B$24,1)+S47*Rules!$B$36-T47*Rules!$B$37+IF(V47="Y",Rules!$B$38,0)+W47)*IF(C47="Power",Rules!$B$23,1),2)</f>
        <v>2.5</v>
      </c>
      <c r="Z47" s="10" t="n">
        <f aca="false">ROUND((D47*Rules!$B$16+Rules!$B$17+IF(E47="Legendary",Rules!$B$21,IF(E47="Rare",Rules!$B$20,IF(E47="Uncommon",Rules!$B$19,Rules!$B$18))))*IF(U47="Y",Rules!$B$22,1),2)</f>
        <v>3</v>
      </c>
      <c r="AA47" s="10" t="n">
        <f aca="false">Y47-Z47</f>
        <v>-0.5</v>
      </c>
      <c r="AB47" s="10" t="str">
        <f aca="false">IF(E47="Starter",IF(AA47&lt;0,"Starter (under on purpose)","Starter too strong"),IF(ABS(AA47)&lt;=Rules!$B$25,"Balanced",IF(AA47&gt;0,"Over budget","Under budget")))</f>
        <v>Balanced</v>
      </c>
    </row>
    <row r="48" customFormat="false" ht="15" hidden="false" customHeight="false" outlineLevel="0" collapsed="false">
      <c r="A48" s="10" t="s">
        <v>294</v>
      </c>
      <c r="B48" s="10" t="s">
        <v>295</v>
      </c>
      <c r="C48" s="10" t="s">
        <v>99</v>
      </c>
      <c r="D48" s="10" t="n">
        <v>1</v>
      </c>
      <c r="E48" s="10" t="s">
        <v>110</v>
      </c>
      <c r="F48" s="10" t="s">
        <v>133</v>
      </c>
      <c r="G48" s="11" t="s">
        <v>296</v>
      </c>
      <c r="H48" s="11" t="s">
        <v>297</v>
      </c>
      <c r="I48" s="12"/>
      <c r="J48" s="12"/>
      <c r="K48" s="12"/>
      <c r="L48" s="12"/>
      <c r="M48" s="12"/>
      <c r="N48" s="12"/>
      <c r="O48" s="12" t="n">
        <v>1</v>
      </c>
      <c r="P48" s="12"/>
      <c r="Q48" s="12" t="n">
        <v>4</v>
      </c>
      <c r="R48" s="12"/>
      <c r="S48" s="12"/>
      <c r="T48" s="12"/>
      <c r="U48" s="12"/>
      <c r="V48" s="12"/>
      <c r="W48" s="12"/>
      <c r="X48" s="11"/>
      <c r="Y48" s="10" t="n">
        <f aca="false">ROUND((I48*Rules!$B$28+J48*Rules!$B$28*Rules!$B$24+K48*Rules!$B$29+L48*Rules!$B$30+M48*Rules!$B$31+N48*Rules!$B$32+(O48*Rules!$B$33+P48*Rules!$B$34+Q48*Rules!$B$35)*IF(R48="Y",Rules!$B$24,1)+S48*Rules!$B$36-T48*Rules!$B$37+IF(V48="Y",Rules!$B$38,0)+W48)*IF(C48="Power",Rules!$B$23,1),2)</f>
        <v>9</v>
      </c>
      <c r="Z48" s="10" t="n">
        <f aca="false">ROUND((D48*Rules!$B$16+Rules!$B$17+IF(E48="Legendary",Rules!$B$21,IF(E48="Rare",Rules!$B$20,IF(E48="Uncommon",Rules!$B$19,Rules!$B$18))))*IF(U48="Y",Rules!$B$22,1),2)</f>
        <v>9</v>
      </c>
      <c r="AA48" s="10" t="n">
        <f aca="false">Y48-Z48</f>
        <v>0</v>
      </c>
      <c r="AB48" s="10" t="str">
        <f aca="false">IF(E48="Starter",IF(AA48&lt;0,"Starter (under on purpose)","Starter too strong"),IF(ABS(AA48)&lt;=Rules!$B$25,"Balanced",IF(AA48&gt;0,"Over budget","Under budget")))</f>
        <v>Balanced</v>
      </c>
    </row>
    <row r="49" customFormat="false" ht="26.85" hidden="false" customHeight="false" outlineLevel="0" collapsed="false">
      <c r="A49" s="10" t="s">
        <v>298</v>
      </c>
      <c r="B49" s="10" t="s">
        <v>299</v>
      </c>
      <c r="C49" s="10" t="s">
        <v>91</v>
      </c>
      <c r="D49" s="10" t="n">
        <v>1</v>
      </c>
      <c r="E49" s="10" t="s">
        <v>110</v>
      </c>
      <c r="F49" s="10" t="s">
        <v>133</v>
      </c>
      <c r="G49" s="11" t="s">
        <v>300</v>
      </c>
      <c r="H49" s="11" t="s">
        <v>301</v>
      </c>
      <c r="I49" s="12"/>
      <c r="J49" s="12" t="n">
        <v>4</v>
      </c>
      <c r="K49" s="12"/>
      <c r="L49" s="12"/>
      <c r="M49" s="12"/>
      <c r="N49" s="12"/>
      <c r="O49" s="12"/>
      <c r="P49" s="12"/>
      <c r="Q49" s="12" t="n">
        <v>2</v>
      </c>
      <c r="R49" s="12" t="s">
        <v>174</v>
      </c>
      <c r="S49" s="12"/>
      <c r="T49" s="12"/>
      <c r="U49" s="12"/>
      <c r="V49" s="12"/>
      <c r="W49" s="12"/>
      <c r="X49" s="11"/>
      <c r="Y49" s="10" t="n">
        <f aca="false">ROUND((I49*Rules!$B$28+J49*Rules!$B$28*Rules!$B$24+K49*Rules!$B$29+L49*Rules!$B$30+M49*Rules!$B$31+N49*Rules!$B$32+(O49*Rules!$B$33+P49*Rules!$B$34+Q49*Rules!$B$35)*IF(R49="Y",Rules!$B$24,1)+S49*Rules!$B$36-T49*Rules!$B$37+IF(V49="Y",Rules!$B$38,0)+W49)*IF(C49="Power",Rules!$B$23,1),2)</f>
        <v>10.5</v>
      </c>
      <c r="Z49" s="10" t="n">
        <f aca="false">ROUND((D49*Rules!$B$16+Rules!$B$17+IF(E49="Legendary",Rules!$B$21,IF(E49="Rare",Rules!$B$20,IF(E49="Uncommon",Rules!$B$19,Rules!$B$18))))*IF(U49="Y",Rules!$B$22,1),2)</f>
        <v>9</v>
      </c>
      <c r="AA49" s="10" t="n">
        <f aca="false">Y49-Z49</f>
        <v>1.5</v>
      </c>
      <c r="AB49" s="10" t="str">
        <f aca="false">IF(E49="Starter",IF(AA49&lt;0,"Starter (under on purpose)","Starter too strong"),IF(ABS(AA49)&lt;=Rules!$B$25,"Balanced",IF(AA49&gt;0,"Over budget","Under budget")))</f>
        <v>Balanced</v>
      </c>
    </row>
    <row r="50" customFormat="false" ht="26.85" hidden="false" customHeight="false" outlineLevel="0" collapsed="false">
      <c r="A50" s="10" t="s">
        <v>302</v>
      </c>
      <c r="B50" s="10" t="s">
        <v>303</v>
      </c>
      <c r="C50" s="10" t="s">
        <v>99</v>
      </c>
      <c r="D50" s="10" t="n">
        <v>1</v>
      </c>
      <c r="E50" s="10" t="s">
        <v>110</v>
      </c>
      <c r="F50" s="10" t="s">
        <v>133</v>
      </c>
      <c r="G50" s="11" t="s">
        <v>304</v>
      </c>
      <c r="H50" s="11" t="s">
        <v>305</v>
      </c>
      <c r="I50" s="12"/>
      <c r="J50" s="12"/>
      <c r="K50" s="12" t="n">
        <v>4</v>
      </c>
      <c r="L50" s="12"/>
      <c r="M50" s="12"/>
      <c r="N50" s="12"/>
      <c r="O50" s="12"/>
      <c r="P50" s="12"/>
      <c r="Q50" s="12" t="n">
        <v>2</v>
      </c>
      <c r="R50" s="12" t="s">
        <v>174</v>
      </c>
      <c r="S50" s="12"/>
      <c r="T50" s="12"/>
      <c r="U50" s="12"/>
      <c r="V50" s="12"/>
      <c r="W50" s="12"/>
      <c r="X50" s="11"/>
      <c r="Y50" s="10" t="n">
        <f aca="false">ROUND((I50*Rules!$B$28+J50*Rules!$B$28*Rules!$B$24+K50*Rules!$B$29+L50*Rules!$B$30+M50*Rules!$B$31+N50*Rules!$B$32+(O50*Rules!$B$33+P50*Rules!$B$34+Q50*Rules!$B$35)*IF(R50="Y",Rules!$B$24,1)+S50*Rules!$B$36-T50*Rules!$B$37+IF(V50="Y",Rules!$B$38,0)+W50)*IF(C50="Power",Rules!$B$23,1),2)</f>
        <v>9.3</v>
      </c>
      <c r="Z50" s="10" t="n">
        <f aca="false">ROUND((D50*Rules!$B$16+Rules!$B$17+IF(E50="Legendary",Rules!$B$21,IF(E50="Rare",Rules!$B$20,IF(E50="Uncommon",Rules!$B$19,Rules!$B$18))))*IF(U50="Y",Rules!$B$22,1),2)</f>
        <v>9</v>
      </c>
      <c r="AA50" s="10" t="n">
        <f aca="false">Y50-Z50</f>
        <v>0.300000000000001</v>
      </c>
      <c r="AB50" s="10" t="str">
        <f aca="false">IF(E50="Starter",IF(AA50&lt;0,"Starter (under on purpose)","Starter too strong"),IF(ABS(AA50)&lt;=Rules!$B$25,"Balanced",IF(AA50&gt;0,"Over budget","Under budget")))</f>
        <v>Balanced</v>
      </c>
    </row>
    <row r="51" customFormat="false" ht="15" hidden="false" customHeight="false" outlineLevel="0" collapsed="false">
      <c r="A51" s="10" t="s">
        <v>306</v>
      </c>
      <c r="B51" s="10" t="s">
        <v>307</v>
      </c>
      <c r="C51" s="10" t="s">
        <v>99</v>
      </c>
      <c r="D51" s="10" t="n">
        <v>0</v>
      </c>
      <c r="E51" s="10" t="s">
        <v>110</v>
      </c>
      <c r="F51" s="10" t="s">
        <v>133</v>
      </c>
      <c r="G51" s="11" t="s">
        <v>308</v>
      </c>
      <c r="H51" s="11" t="s">
        <v>309</v>
      </c>
      <c r="I51" s="12"/>
      <c r="J51" s="12"/>
      <c r="K51" s="12"/>
      <c r="L51" s="12"/>
      <c r="M51" s="12"/>
      <c r="N51" s="12"/>
      <c r="O51" s="12"/>
      <c r="P51" s="12"/>
      <c r="Q51" s="12" t="n">
        <v>3</v>
      </c>
      <c r="R51" s="12"/>
      <c r="S51" s="12"/>
      <c r="T51" s="12"/>
      <c r="U51" s="12" t="s">
        <v>174</v>
      </c>
      <c r="V51" s="12"/>
      <c r="W51" s="12"/>
      <c r="X51" s="11"/>
      <c r="Y51" s="10" t="n">
        <f aca="false">ROUND((I51*Rules!$B$28+J51*Rules!$B$28*Rules!$B$24+K51*Rules!$B$29+L51*Rules!$B$30+M51*Rules!$B$31+N51*Rules!$B$32+(O51*Rules!$B$33+P51*Rules!$B$34+Q51*Rules!$B$35)*IF(R51="Y",Rules!$B$24,1)+S51*Rules!$B$36-T51*Rules!$B$37+IF(V51="Y",Rules!$B$38,0)+W51)*IF(C51="Power",Rules!$B$23,1),2)</f>
        <v>4.5</v>
      </c>
      <c r="Z51" s="10" t="n">
        <f aca="false">ROUND((D51*Rules!$B$16+Rules!$B$17+IF(E51="Legendary",Rules!$B$21,IF(E51="Rare",Rules!$B$20,IF(E51="Uncommon",Rules!$B$19,Rules!$B$18))))*IF(U51="Y",Rules!$B$22,1),2)</f>
        <v>3.9</v>
      </c>
      <c r="AA51" s="10" t="n">
        <f aca="false">Y51-Z51</f>
        <v>0.6</v>
      </c>
      <c r="AB51" s="10" t="str">
        <f aca="false">IF(E51="Starter",IF(AA51&lt;0,"Starter (under on purpose)","Starter too strong"),IF(ABS(AA51)&lt;=Rules!$B$25,"Balanced",IF(AA51&gt;0,"Over budget","Under budget")))</f>
        <v>Balanced</v>
      </c>
    </row>
    <row r="52" customFormat="false" ht="15" hidden="false" customHeight="false" outlineLevel="0" collapsed="false">
      <c r="A52" s="10" t="s">
        <v>310</v>
      </c>
      <c r="B52" s="10" t="s">
        <v>311</v>
      </c>
      <c r="C52" s="10" t="s">
        <v>91</v>
      </c>
      <c r="D52" s="10" t="n">
        <v>1</v>
      </c>
      <c r="E52" s="10" t="s">
        <v>110</v>
      </c>
      <c r="F52" s="10" t="s">
        <v>133</v>
      </c>
      <c r="G52" s="11" t="s">
        <v>312</v>
      </c>
      <c r="H52" s="11" t="s">
        <v>313</v>
      </c>
      <c r="I52" s="12" t="n">
        <v>3</v>
      </c>
      <c r="J52" s="12"/>
      <c r="K52" s="12"/>
      <c r="L52" s="12"/>
      <c r="M52" s="12"/>
      <c r="N52" s="12"/>
      <c r="O52" s="12"/>
      <c r="P52" s="12"/>
      <c r="Q52" s="12" t="n">
        <v>2</v>
      </c>
      <c r="R52" s="12"/>
      <c r="S52" s="12"/>
      <c r="T52" s="12"/>
      <c r="U52" s="12"/>
      <c r="V52" s="12" t="s">
        <v>174</v>
      </c>
      <c r="W52" s="12"/>
      <c r="X52" s="11"/>
      <c r="Y52" s="10" t="n">
        <f aca="false">ROUND((I52*Rules!$B$28+J52*Rules!$B$28*Rules!$B$24+K52*Rules!$B$29+L52*Rules!$B$30+M52*Rules!$B$31+N52*Rules!$B$32+(O52*Rules!$B$33+P52*Rules!$B$34+Q52*Rules!$B$35)*IF(R52="Y",Rules!$B$24,1)+S52*Rules!$B$36-T52*Rules!$B$37+IF(V52="Y",Rules!$B$38,0)+W52)*IF(C52="Power",Rules!$B$23,1),2)</f>
        <v>8</v>
      </c>
      <c r="Z52" s="10" t="n">
        <f aca="false">ROUND((D52*Rules!$B$16+Rules!$B$17+IF(E52="Legendary",Rules!$B$21,IF(E52="Rare",Rules!$B$20,IF(E52="Uncommon",Rules!$B$19,Rules!$B$18))))*IF(U52="Y",Rules!$B$22,1),2)</f>
        <v>9</v>
      </c>
      <c r="AA52" s="10" t="n">
        <f aca="false">Y52-Z52</f>
        <v>-1</v>
      </c>
      <c r="AB52" s="10" t="str">
        <f aca="false">IF(E52="Starter",IF(AA52&lt;0,"Starter (under on purpose)","Starter too strong"),IF(ABS(AA52)&lt;=Rules!$B$25,"Balanced",IF(AA52&gt;0,"Over budget","Under budget")))</f>
        <v>Balanced</v>
      </c>
    </row>
    <row r="53" customFormat="false" ht="26.85" hidden="false" customHeight="false" outlineLevel="0" collapsed="false">
      <c r="A53" s="10" t="s">
        <v>314</v>
      </c>
      <c r="B53" s="10" t="s">
        <v>315</v>
      </c>
      <c r="C53" s="10" t="s">
        <v>99</v>
      </c>
      <c r="D53" s="10" t="n">
        <v>1</v>
      </c>
      <c r="E53" s="10" t="s">
        <v>110</v>
      </c>
      <c r="F53" s="10" t="s">
        <v>147</v>
      </c>
      <c r="G53" s="11" t="s">
        <v>316</v>
      </c>
      <c r="H53" s="11" t="s">
        <v>317</v>
      </c>
      <c r="I53" s="12"/>
      <c r="J53" s="12"/>
      <c r="K53" s="12"/>
      <c r="L53" s="12"/>
      <c r="M53" s="12" t="n">
        <v>1</v>
      </c>
      <c r="N53" s="12"/>
      <c r="O53" s="12" t="n">
        <v>1</v>
      </c>
      <c r="P53" s="12" t="n">
        <v>1</v>
      </c>
      <c r="Q53" s="12"/>
      <c r="R53" s="12"/>
      <c r="S53" s="12"/>
      <c r="T53" s="12"/>
      <c r="U53" s="12"/>
      <c r="V53" s="12"/>
      <c r="W53" s="12"/>
      <c r="X53" s="11"/>
      <c r="Y53" s="10" t="n">
        <f aca="false">ROUND((I53*Rules!$B$28+J53*Rules!$B$28*Rules!$B$24+K53*Rules!$B$29+L53*Rules!$B$30+M53*Rules!$B$31+N53*Rules!$B$32+(O53*Rules!$B$33+P53*Rules!$B$34+Q53*Rules!$B$35)*IF(R53="Y",Rules!$B$24,1)+S53*Rules!$B$36-T53*Rules!$B$37+IF(V53="Y",Rules!$B$38,0)+W53)*IF(C53="Power",Rules!$B$23,1),2)</f>
        <v>10</v>
      </c>
      <c r="Z53" s="10" t="n">
        <f aca="false">ROUND((D53*Rules!$B$16+Rules!$B$17+IF(E53="Legendary",Rules!$B$21,IF(E53="Rare",Rules!$B$20,IF(E53="Uncommon",Rules!$B$19,Rules!$B$18))))*IF(U53="Y",Rules!$B$22,1),2)</f>
        <v>9</v>
      </c>
      <c r="AA53" s="10" t="n">
        <f aca="false">Y53-Z53</f>
        <v>1</v>
      </c>
      <c r="AB53" s="10" t="str">
        <f aca="false">IF(E53="Starter",IF(AA53&lt;0,"Starter (under on purpose)","Starter too strong"),IF(ABS(AA53)&lt;=Rules!$B$25,"Balanced",IF(AA53&gt;0,"Over budget","Under budget")))</f>
        <v>Balanced</v>
      </c>
    </row>
    <row r="54" customFormat="false" ht="15" hidden="false" customHeight="false" outlineLevel="0" collapsed="false">
      <c r="A54" s="10" t="s">
        <v>318</v>
      </c>
      <c r="B54" s="10" t="s">
        <v>319</v>
      </c>
      <c r="C54" s="10" t="s">
        <v>99</v>
      </c>
      <c r="D54" s="10" t="n">
        <v>1</v>
      </c>
      <c r="E54" s="10" t="s">
        <v>110</v>
      </c>
      <c r="F54" s="10" t="s">
        <v>147</v>
      </c>
      <c r="G54" s="11" t="s">
        <v>320</v>
      </c>
      <c r="H54" s="11" t="s">
        <v>321</v>
      </c>
      <c r="I54" s="12"/>
      <c r="J54" s="12"/>
      <c r="K54" s="12" t="n">
        <v>4</v>
      </c>
      <c r="L54" s="12"/>
      <c r="M54" s="12"/>
      <c r="N54" s="12"/>
      <c r="O54" s="12" t="n">
        <v>1</v>
      </c>
      <c r="P54" s="12"/>
      <c r="Q54" s="12"/>
      <c r="R54" s="12" t="s">
        <v>174</v>
      </c>
      <c r="S54" s="12"/>
      <c r="T54" s="12"/>
      <c r="U54" s="12"/>
      <c r="V54" s="12"/>
      <c r="W54" s="12"/>
      <c r="X54" s="11"/>
      <c r="Y54" s="10" t="n">
        <f aca="false">ROUND((I54*Rules!$B$28+J54*Rules!$B$28*Rules!$B$24+K54*Rules!$B$29+L54*Rules!$B$30+M54*Rules!$B$31+N54*Rules!$B$32+(O54*Rules!$B$33+P54*Rules!$B$34+Q54*Rules!$B$35)*IF(R54="Y",Rules!$B$24,1)+S54*Rules!$B$36-T54*Rules!$B$37+IF(V54="Y",Rules!$B$38,0)+W54)*IF(C54="Power",Rules!$B$23,1),2)</f>
        <v>9.3</v>
      </c>
      <c r="Z54" s="10" t="n">
        <f aca="false">ROUND((D54*Rules!$B$16+Rules!$B$17+IF(E54="Legendary",Rules!$B$21,IF(E54="Rare",Rules!$B$20,IF(E54="Uncommon",Rules!$B$19,Rules!$B$18))))*IF(U54="Y",Rules!$B$22,1),2)</f>
        <v>9</v>
      </c>
      <c r="AA54" s="10" t="n">
        <f aca="false">Y54-Z54</f>
        <v>0.300000000000001</v>
      </c>
      <c r="AB54" s="10" t="str">
        <f aca="false">IF(E54="Starter",IF(AA54&lt;0,"Starter (under on purpose)","Starter too strong"),IF(ABS(AA54)&lt;=Rules!$B$25,"Balanced",IF(AA54&gt;0,"Over budget","Under budget")))</f>
        <v>Balanced</v>
      </c>
    </row>
    <row r="55" customFormat="false" ht="15" hidden="false" customHeight="false" outlineLevel="0" collapsed="false">
      <c r="A55" s="10" t="s">
        <v>322</v>
      </c>
      <c r="B55" s="10" t="s">
        <v>323</v>
      </c>
      <c r="C55" s="10" t="s">
        <v>91</v>
      </c>
      <c r="D55" s="10" t="n">
        <v>1</v>
      </c>
      <c r="E55" s="10" t="s">
        <v>110</v>
      </c>
      <c r="F55" s="10" t="s">
        <v>147</v>
      </c>
      <c r="G55" s="11" t="s">
        <v>324</v>
      </c>
      <c r="H55" s="11" t="s">
        <v>325</v>
      </c>
      <c r="I55" s="12" t="n">
        <v>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 t="s">
        <v>174</v>
      </c>
      <c r="W55" s="12"/>
      <c r="X55" s="11"/>
      <c r="Y55" s="10" t="n">
        <f aca="false">ROUND((I55*Rules!$B$28+J55*Rules!$B$28*Rules!$B$24+K55*Rules!$B$29+L55*Rules!$B$30+M55*Rules!$B$31+N55*Rules!$B$32+(O55*Rules!$B$33+P55*Rules!$B$34+Q55*Rules!$B$35)*IF(R55="Y",Rules!$B$24,1)+S55*Rules!$B$36-T55*Rules!$B$37+IF(V55="Y",Rules!$B$38,0)+W55)*IF(C55="Power",Rules!$B$23,1),2)</f>
        <v>8</v>
      </c>
      <c r="Z55" s="10" t="n">
        <f aca="false">ROUND((D55*Rules!$B$16+Rules!$B$17+IF(E55="Legendary",Rules!$B$21,IF(E55="Rare",Rules!$B$20,IF(E55="Uncommon",Rules!$B$19,Rules!$B$18))))*IF(U55="Y",Rules!$B$22,1),2)</f>
        <v>9</v>
      </c>
      <c r="AA55" s="10" t="n">
        <f aca="false">Y55-Z55</f>
        <v>-1</v>
      </c>
      <c r="AB55" s="10" t="str">
        <f aca="false">IF(E55="Starter",IF(AA55&lt;0,"Starter (under on purpose)","Starter too strong"),IF(ABS(AA55)&lt;=Rules!$B$25,"Balanced",IF(AA55&gt;0,"Over budget","Under budget")))</f>
        <v>Balanced</v>
      </c>
    </row>
    <row r="56" customFormat="false" ht="15" hidden="false" customHeight="false" outlineLevel="0" collapsed="false">
      <c r="A56" s="10" t="s">
        <v>326</v>
      </c>
      <c r="B56" s="10" t="s">
        <v>327</v>
      </c>
      <c r="C56" s="10" t="s">
        <v>99</v>
      </c>
      <c r="D56" s="10" t="n">
        <v>1</v>
      </c>
      <c r="E56" s="10" t="s">
        <v>110</v>
      </c>
      <c r="F56" s="10" t="s">
        <v>147</v>
      </c>
      <c r="G56" s="11" t="s">
        <v>328</v>
      </c>
      <c r="H56" s="11" t="s">
        <v>329</v>
      </c>
      <c r="I56" s="12"/>
      <c r="J56" s="12"/>
      <c r="K56" s="12" t="n">
        <v>3</v>
      </c>
      <c r="L56" s="12"/>
      <c r="M56" s="12"/>
      <c r="N56" s="12"/>
      <c r="O56" s="12"/>
      <c r="P56" s="12" t="n">
        <v>2</v>
      </c>
      <c r="Q56" s="12"/>
      <c r="R56" s="12"/>
      <c r="S56" s="12"/>
      <c r="T56" s="12"/>
      <c r="U56" s="12"/>
      <c r="V56" s="12"/>
      <c r="W56" s="12"/>
      <c r="X56" s="11"/>
      <c r="Y56" s="10" t="n">
        <f aca="false">ROUND((I56*Rules!$B$28+J56*Rules!$B$28*Rules!$B$24+K56*Rules!$B$29+L56*Rules!$B$30+M56*Rules!$B$31+N56*Rules!$B$32+(O56*Rules!$B$33+P56*Rules!$B$34+Q56*Rules!$B$35)*IF(R56="Y",Rules!$B$24,1)+S56*Rules!$B$36-T56*Rules!$B$37+IF(V56="Y",Rules!$B$38,0)+W56)*IF(C56="Power",Rules!$B$23,1),2)</f>
        <v>9.6</v>
      </c>
      <c r="Z56" s="10" t="n">
        <f aca="false">ROUND((D56*Rules!$B$16+Rules!$B$17+IF(E56="Legendary",Rules!$B$21,IF(E56="Rare",Rules!$B$20,IF(E56="Uncommon",Rules!$B$19,Rules!$B$18))))*IF(U56="Y",Rules!$B$22,1),2)</f>
        <v>9</v>
      </c>
      <c r="AA56" s="10" t="n">
        <f aca="false">Y56-Z56</f>
        <v>0.6</v>
      </c>
      <c r="AB56" s="10" t="str">
        <f aca="false">IF(E56="Starter",IF(AA56&lt;0,"Starter (under on purpose)","Starter too strong"),IF(ABS(AA56)&lt;=Rules!$B$25,"Balanced",IF(AA56&gt;0,"Over budget","Under budget")))</f>
        <v>Balanced</v>
      </c>
    </row>
    <row r="57" customFormat="false" ht="39.55" hidden="false" customHeight="false" outlineLevel="0" collapsed="false">
      <c r="A57" s="10" t="s">
        <v>330</v>
      </c>
      <c r="B57" s="10" t="s">
        <v>331</v>
      </c>
      <c r="C57" s="10" t="s">
        <v>99</v>
      </c>
      <c r="D57" s="10" t="n">
        <v>0</v>
      </c>
      <c r="E57" s="10" t="s">
        <v>110</v>
      </c>
      <c r="F57" s="10" t="s">
        <v>147</v>
      </c>
      <c r="G57" s="11" t="s">
        <v>332</v>
      </c>
      <c r="H57" s="11" t="s">
        <v>333</v>
      </c>
      <c r="I57" s="12"/>
      <c r="J57" s="12"/>
      <c r="K57" s="12"/>
      <c r="L57" s="12"/>
      <c r="M57" s="12" t="n">
        <v>1</v>
      </c>
      <c r="N57" s="12"/>
      <c r="O57" s="12"/>
      <c r="P57" s="12"/>
      <c r="Q57" s="12"/>
      <c r="R57" s="12"/>
      <c r="S57" s="12"/>
      <c r="T57" s="12"/>
      <c r="U57" s="12"/>
      <c r="V57" s="12"/>
      <c r="W57" s="12" t="n">
        <v>-1</v>
      </c>
      <c r="X57" s="11" t="s">
        <v>334</v>
      </c>
      <c r="Y57" s="10" t="n">
        <f aca="false">ROUND((I57*Rules!$B$28+J57*Rules!$B$28*Rules!$B$24+K57*Rules!$B$29+L57*Rules!$B$30+M57*Rules!$B$31+N57*Rules!$B$32+(O57*Rules!$B$33+P57*Rules!$B$34+Q57*Rules!$B$35)*IF(R57="Y",Rules!$B$24,1)+S57*Rules!$B$36-T57*Rules!$B$37+IF(V57="Y",Rules!$B$38,0)+W57)*IF(C57="Power",Rules!$B$23,1),2)</f>
        <v>3</v>
      </c>
      <c r="Z57" s="10" t="n">
        <f aca="false">ROUND((D57*Rules!$B$16+Rules!$B$17+IF(E57="Legendary",Rules!$B$21,IF(E57="Rare",Rules!$B$20,IF(E57="Uncommon",Rules!$B$19,Rules!$B$18))))*IF(U57="Y",Rules!$B$22,1),2)</f>
        <v>3</v>
      </c>
      <c r="AA57" s="10" t="n">
        <f aca="false">Y57-Z57</f>
        <v>0</v>
      </c>
      <c r="AB57" s="10" t="str">
        <f aca="false">IF(E57="Starter",IF(AA57&lt;0,"Starter (under on purpose)","Starter too strong"),IF(ABS(AA57)&lt;=Rules!$B$25,"Balanced",IF(AA57&gt;0,"Over budget","Under budget")))</f>
        <v>Balanced</v>
      </c>
    </row>
    <row r="58" customFormat="false" ht="26.85" hidden="false" customHeight="false" outlineLevel="0" collapsed="false">
      <c r="A58" s="10" t="s">
        <v>335</v>
      </c>
      <c r="B58" s="10" t="s">
        <v>336</v>
      </c>
      <c r="C58" s="10" t="s">
        <v>99</v>
      </c>
      <c r="D58" s="10" t="n">
        <v>1</v>
      </c>
      <c r="E58" s="10" t="s">
        <v>110</v>
      </c>
      <c r="F58" s="10" t="s">
        <v>147</v>
      </c>
      <c r="G58" s="11" t="s">
        <v>337</v>
      </c>
      <c r="H58" s="11" t="s">
        <v>338</v>
      </c>
      <c r="I58" s="12"/>
      <c r="J58" s="12"/>
      <c r="K58" s="12"/>
      <c r="L58" s="12"/>
      <c r="M58" s="12" t="n">
        <v>1</v>
      </c>
      <c r="N58" s="12"/>
      <c r="O58" s="12"/>
      <c r="P58" s="12" t="n">
        <v>1</v>
      </c>
      <c r="Q58" s="12"/>
      <c r="R58" s="12" t="s">
        <v>174</v>
      </c>
      <c r="S58" s="12"/>
      <c r="T58" s="12"/>
      <c r="U58" s="12"/>
      <c r="V58" s="12"/>
      <c r="W58" s="12"/>
      <c r="X58" s="11"/>
      <c r="Y58" s="10" t="n">
        <f aca="false">ROUND((I58*Rules!$B$28+J58*Rules!$B$28*Rules!$B$24+K58*Rules!$B$29+L58*Rules!$B$30+M58*Rules!$B$31+N58*Rules!$B$32+(O58*Rules!$B$33+P58*Rules!$B$34+Q58*Rules!$B$35)*IF(R58="Y",Rules!$B$24,1)+S58*Rules!$B$36-T58*Rules!$B$37+IF(V58="Y",Rules!$B$38,0)+W58)*IF(C58="Power",Rules!$B$23,1),2)</f>
        <v>8.5</v>
      </c>
      <c r="Z58" s="10" t="n">
        <f aca="false">ROUND((D58*Rules!$B$16+Rules!$B$17+IF(E58="Legendary",Rules!$B$21,IF(E58="Rare",Rules!$B$20,IF(E58="Uncommon",Rules!$B$19,Rules!$B$18))))*IF(U58="Y",Rules!$B$22,1),2)</f>
        <v>9</v>
      </c>
      <c r="AA58" s="10" t="n">
        <f aca="false">Y58-Z58</f>
        <v>-0.5</v>
      </c>
      <c r="AB58" s="10" t="str">
        <f aca="false">IF(E58="Starter",IF(AA58&lt;0,"Starter (under on purpose)","Starter too strong"),IF(ABS(AA58)&lt;=Rules!$B$25,"Balanced",IF(AA58&gt;0,"Over budget","Under budget")))</f>
        <v>Balanced</v>
      </c>
    </row>
    <row r="59" customFormat="false" ht="15" hidden="false" customHeight="false" outlineLevel="0" collapsed="false">
      <c r="A59" s="10" t="s">
        <v>339</v>
      </c>
      <c r="B59" s="10" t="s">
        <v>340</v>
      </c>
      <c r="C59" s="10" t="s">
        <v>91</v>
      </c>
      <c r="D59" s="10" t="n">
        <v>2</v>
      </c>
      <c r="E59" s="10" t="s">
        <v>110</v>
      </c>
      <c r="F59" s="10" t="s">
        <v>147</v>
      </c>
      <c r="G59" s="11" t="s">
        <v>341</v>
      </c>
      <c r="H59" s="11" t="s">
        <v>342</v>
      </c>
      <c r="I59" s="12" t="n">
        <v>10</v>
      </c>
      <c r="J59" s="12"/>
      <c r="K59" s="12"/>
      <c r="L59" s="12"/>
      <c r="M59" s="12" t="n">
        <v>1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1"/>
      <c r="Y59" s="10" t="n">
        <f aca="false">ROUND((I59*Rules!$B$28+J59*Rules!$B$28*Rules!$B$24+K59*Rules!$B$29+L59*Rules!$B$30+M59*Rules!$B$31+N59*Rules!$B$32+(O59*Rules!$B$33+P59*Rules!$B$34+Q59*Rules!$B$35)*IF(R59="Y",Rules!$B$24,1)+S59*Rules!$B$36-T59*Rules!$B$37+IF(V59="Y",Rules!$B$38,0)+W59)*IF(C59="Power",Rules!$B$23,1),2)</f>
        <v>14</v>
      </c>
      <c r="Z59" s="10" t="n">
        <f aca="false">ROUND((D59*Rules!$B$16+Rules!$B$17+IF(E59="Legendary",Rules!$B$21,IF(E59="Rare",Rules!$B$20,IF(E59="Uncommon",Rules!$B$19,Rules!$B$18))))*IF(U59="Y",Rules!$B$22,1),2)</f>
        <v>15</v>
      </c>
      <c r="AA59" s="10" t="n">
        <f aca="false">Y59-Z59</f>
        <v>-1</v>
      </c>
      <c r="AB59" s="10" t="str">
        <f aca="false">IF(E59="Starter",IF(AA59&lt;0,"Starter (under on purpose)","Starter too strong"),IF(ABS(AA59)&lt;=Rules!$B$25,"Balanced",IF(AA59&gt;0,"Over budget","Under budget")))</f>
        <v>Balanced</v>
      </c>
    </row>
    <row r="60" customFormat="false" ht="15" hidden="false" customHeight="false" outlineLevel="0" collapsed="false">
      <c r="A60" s="10" t="s">
        <v>343</v>
      </c>
      <c r="B60" s="10" t="s">
        <v>344</v>
      </c>
      <c r="C60" s="10" t="s">
        <v>91</v>
      </c>
      <c r="D60" s="10" t="n">
        <v>1</v>
      </c>
      <c r="E60" s="10" t="s">
        <v>345</v>
      </c>
      <c r="F60" s="10" t="s">
        <v>147</v>
      </c>
      <c r="G60" s="11" t="s">
        <v>346</v>
      </c>
      <c r="H60" s="11" t="s">
        <v>347</v>
      </c>
      <c r="I60" s="12" t="n">
        <v>5</v>
      </c>
      <c r="J60" s="12"/>
      <c r="K60" s="12"/>
      <c r="L60" s="12"/>
      <c r="M60" s="12"/>
      <c r="N60" s="12"/>
      <c r="O60" s="12"/>
      <c r="P60" s="12" t="n">
        <v>2</v>
      </c>
      <c r="Q60" s="12"/>
      <c r="R60" s="12"/>
      <c r="S60" s="12"/>
      <c r="T60" s="12"/>
      <c r="U60" s="12"/>
      <c r="V60" s="12"/>
      <c r="W60" s="12"/>
      <c r="X60" s="11"/>
      <c r="Y60" s="10" t="n">
        <f aca="false">ROUND((I60*Rules!$B$28+J60*Rules!$B$28*Rules!$B$24+K60*Rules!$B$29+L60*Rules!$B$30+M60*Rules!$B$31+N60*Rules!$B$32+(O60*Rules!$B$33+P60*Rules!$B$34+Q60*Rules!$B$35)*IF(R60="Y",Rules!$B$24,1)+S60*Rules!$B$36-T60*Rules!$B$37+IF(V60="Y",Rules!$B$38,0)+W60)*IF(C60="Power",Rules!$B$23,1),2)</f>
        <v>11</v>
      </c>
      <c r="Z60" s="10" t="n">
        <f aca="false">ROUND((D60*Rules!$B$16+Rules!$B$17+IF(E60="Legendary",Rules!$B$21,IF(E60="Rare",Rules!$B$20,IF(E60="Uncommon",Rules!$B$19,Rules!$B$18))))*IF(U60="Y",Rules!$B$22,1),2)</f>
        <v>11</v>
      </c>
      <c r="AA60" s="10" t="n">
        <f aca="false">Y60-Z60</f>
        <v>0</v>
      </c>
      <c r="AB60" s="10" t="str">
        <f aca="false">IF(E60="Starter",IF(AA60&lt;0,"Starter (under on purpose)","Starter too strong"),IF(ABS(AA60)&lt;=Rules!$B$25,"Balanced",IF(AA60&gt;0,"Over budget","Under budget")))</f>
        <v>Balanced</v>
      </c>
    </row>
    <row r="61" customFormat="false" ht="15" hidden="false" customHeight="false" outlineLevel="0" collapsed="false">
      <c r="A61" s="10" t="s">
        <v>348</v>
      </c>
      <c r="B61" s="10" t="s">
        <v>349</v>
      </c>
      <c r="C61" s="10" t="s">
        <v>91</v>
      </c>
      <c r="D61" s="10" t="n">
        <v>2</v>
      </c>
      <c r="E61" s="10" t="s">
        <v>345</v>
      </c>
      <c r="F61" s="10" t="s">
        <v>138</v>
      </c>
      <c r="G61" s="11" t="s">
        <v>350</v>
      </c>
      <c r="H61" s="11" t="s">
        <v>351</v>
      </c>
      <c r="I61" s="12" t="n">
        <v>8</v>
      </c>
      <c r="J61" s="12"/>
      <c r="K61" s="12" t="n">
        <v>7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1"/>
      <c r="Y61" s="10" t="n">
        <f aca="false">ROUND((I61*Rules!$B$28+J61*Rules!$B$28*Rules!$B$24+K61*Rules!$B$29+L61*Rules!$B$30+M61*Rules!$B$31+N61*Rules!$B$32+(O61*Rules!$B$33+P61*Rules!$B$34+Q61*Rules!$B$35)*IF(R61="Y",Rules!$B$24,1)+S61*Rules!$B$36-T61*Rules!$B$37+IF(V61="Y",Rules!$B$38,0)+W61)*IF(C61="Power",Rules!$B$23,1),2)</f>
        <v>16.4</v>
      </c>
      <c r="Z61" s="10" t="n">
        <f aca="false">ROUND((D61*Rules!$B$16+Rules!$B$17+IF(E61="Legendary",Rules!$B$21,IF(E61="Rare",Rules!$B$20,IF(E61="Uncommon",Rules!$B$19,Rules!$B$18))))*IF(U61="Y",Rules!$B$22,1),2)</f>
        <v>17</v>
      </c>
      <c r="AA61" s="10" t="n">
        <f aca="false">Y61-Z61</f>
        <v>-0.600000000000001</v>
      </c>
      <c r="AB61" s="10" t="str">
        <f aca="false">IF(E61="Starter",IF(AA61&lt;0,"Starter (under on purpose)","Starter too strong"),IF(ABS(AA61)&lt;=Rules!$B$25,"Balanced",IF(AA61&gt;0,"Over budget","Under budget")))</f>
        <v>Balanced</v>
      </c>
    </row>
    <row r="62" customFormat="false" ht="15" hidden="false" customHeight="false" outlineLevel="0" collapsed="false">
      <c r="A62" s="10" t="s">
        <v>352</v>
      </c>
      <c r="B62" s="10" t="s">
        <v>353</v>
      </c>
      <c r="C62" s="10" t="s">
        <v>91</v>
      </c>
      <c r="D62" s="10" t="n">
        <v>2</v>
      </c>
      <c r="E62" s="10" t="s">
        <v>345</v>
      </c>
      <c r="F62" s="10" t="s">
        <v>114</v>
      </c>
      <c r="G62" s="11" t="s">
        <v>354</v>
      </c>
      <c r="H62" s="11" t="s">
        <v>355</v>
      </c>
      <c r="I62" s="12"/>
      <c r="J62" s="12" t="n">
        <v>11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1"/>
      <c r="Y62" s="10" t="n">
        <f aca="false">ROUND((I62*Rules!$B$28+J62*Rules!$B$28*Rules!$B$24+K62*Rules!$B$29+L62*Rules!$B$30+M62*Rules!$B$31+N62*Rules!$B$32+(O62*Rules!$B$33+P62*Rules!$B$34+Q62*Rules!$B$35)*IF(R62="Y",Rules!$B$24,1)+S62*Rules!$B$36-T62*Rules!$B$37+IF(V62="Y",Rules!$B$38,0)+W62)*IF(C62="Power",Rules!$B$23,1),2)</f>
        <v>16.5</v>
      </c>
      <c r="Z62" s="10" t="n">
        <f aca="false">ROUND((D62*Rules!$B$16+Rules!$B$17+IF(E62="Legendary",Rules!$B$21,IF(E62="Rare",Rules!$B$20,IF(E62="Uncommon",Rules!$B$19,Rules!$B$18))))*IF(U62="Y",Rules!$B$22,1),2)</f>
        <v>17</v>
      </c>
      <c r="AA62" s="10" t="n">
        <f aca="false">Y62-Z62</f>
        <v>-0.5</v>
      </c>
      <c r="AB62" s="10" t="str">
        <f aca="false">IF(E62="Starter",IF(AA62&lt;0,"Starter (under on purpose)","Starter too strong"),IF(ABS(AA62)&lt;=Rules!$B$25,"Balanced",IF(AA62&gt;0,"Over budget","Under budget")))</f>
        <v>Balanced</v>
      </c>
    </row>
    <row r="63" customFormat="false" ht="15" hidden="false" customHeight="false" outlineLevel="0" collapsed="false">
      <c r="A63" s="10" t="s">
        <v>356</v>
      </c>
      <c r="B63" s="10" t="s">
        <v>357</v>
      </c>
      <c r="C63" s="10" t="s">
        <v>99</v>
      </c>
      <c r="D63" s="10" t="n">
        <v>2</v>
      </c>
      <c r="E63" s="10" t="s">
        <v>345</v>
      </c>
      <c r="F63" s="10" t="s">
        <v>133</v>
      </c>
      <c r="G63" s="11" t="s">
        <v>358</v>
      </c>
      <c r="H63" s="11" t="s">
        <v>359</v>
      </c>
      <c r="I63" s="12"/>
      <c r="J63" s="12"/>
      <c r="K63" s="12"/>
      <c r="L63" s="12"/>
      <c r="M63" s="12"/>
      <c r="N63" s="12"/>
      <c r="O63" s="12"/>
      <c r="P63" s="12"/>
      <c r="Q63" s="12" t="n">
        <v>7</v>
      </c>
      <c r="R63" s="12" t="s">
        <v>174</v>
      </c>
      <c r="S63" s="12"/>
      <c r="T63" s="12"/>
      <c r="U63" s="12"/>
      <c r="V63" s="12"/>
      <c r="W63" s="12"/>
      <c r="X63" s="11"/>
      <c r="Y63" s="10" t="n">
        <f aca="false">ROUND((I63*Rules!$B$28+J63*Rules!$B$28*Rules!$B$24+K63*Rules!$B$29+L63*Rules!$B$30+M63*Rules!$B$31+N63*Rules!$B$32+(O63*Rules!$B$33+P63*Rules!$B$34+Q63*Rules!$B$35)*IF(R63="Y",Rules!$B$24,1)+S63*Rules!$B$36-T63*Rules!$B$37+IF(V63="Y",Rules!$B$38,0)+W63)*IF(C63="Power",Rules!$B$23,1),2)</f>
        <v>15.75</v>
      </c>
      <c r="Z63" s="10" t="n">
        <f aca="false">ROUND((D63*Rules!$B$16+Rules!$B$17+IF(E63="Legendary",Rules!$B$21,IF(E63="Rare",Rules!$B$20,IF(E63="Uncommon",Rules!$B$19,Rules!$B$18))))*IF(U63="Y",Rules!$B$22,1),2)</f>
        <v>17</v>
      </c>
      <c r="AA63" s="10" t="n">
        <f aca="false">Y63-Z63</f>
        <v>-1.25</v>
      </c>
      <c r="AB63" s="10" t="str">
        <f aca="false">IF(E63="Starter",IF(AA63&lt;0,"Starter (under on purpose)","Starter too strong"),IF(ABS(AA63)&lt;=Rules!$B$25,"Balanced",IF(AA63&gt;0,"Over budget","Under budget")))</f>
        <v>Balanced</v>
      </c>
    </row>
    <row r="64" customFormat="false" ht="15" hidden="false" customHeight="false" outlineLevel="0" collapsed="false">
      <c r="A64" s="10" t="s">
        <v>360</v>
      </c>
      <c r="B64" s="10" t="s">
        <v>361</v>
      </c>
      <c r="C64" s="10" t="s">
        <v>99</v>
      </c>
      <c r="D64" s="10" t="n">
        <v>0</v>
      </c>
      <c r="E64" s="10" t="s">
        <v>345</v>
      </c>
      <c r="F64" s="10" t="s">
        <v>147</v>
      </c>
      <c r="G64" s="11" t="s">
        <v>362</v>
      </c>
      <c r="H64" s="11" t="s">
        <v>363</v>
      </c>
      <c r="I64" s="12"/>
      <c r="J64" s="12"/>
      <c r="K64" s="12"/>
      <c r="L64" s="12"/>
      <c r="M64" s="12"/>
      <c r="N64" s="12" t="n">
        <v>1</v>
      </c>
      <c r="O64" s="12"/>
      <c r="P64" s="12"/>
      <c r="Q64" s="12"/>
      <c r="R64" s="12"/>
      <c r="S64" s="12"/>
      <c r="T64" s="12"/>
      <c r="U64" s="12" t="s">
        <v>174</v>
      </c>
      <c r="V64" s="12"/>
      <c r="W64" s="12"/>
      <c r="X64" s="11"/>
      <c r="Y64" s="10" t="n">
        <f aca="false">ROUND((I64*Rules!$B$28+J64*Rules!$B$28*Rules!$B$24+K64*Rules!$B$29+L64*Rules!$B$30+M64*Rules!$B$31+N64*Rules!$B$32+(O64*Rules!$B$33+P64*Rules!$B$34+Q64*Rules!$B$35)*IF(R64="Y",Rules!$B$24,1)+S64*Rules!$B$36-T64*Rules!$B$37+IF(V64="Y",Rules!$B$38,0)+W64)*IF(C64="Power",Rules!$B$23,1),2)</f>
        <v>6</v>
      </c>
      <c r="Z64" s="10" t="n">
        <f aca="false">ROUND((D64*Rules!$B$16+Rules!$B$17+IF(E64="Legendary",Rules!$B$21,IF(E64="Rare",Rules!$B$20,IF(E64="Uncommon",Rules!$B$19,Rules!$B$18))))*IF(U64="Y",Rules!$B$22,1),2)</f>
        <v>6.5</v>
      </c>
      <c r="AA64" s="10" t="n">
        <f aca="false">Y64-Z64</f>
        <v>-0.5</v>
      </c>
      <c r="AB64" s="10" t="str">
        <f aca="false">IF(E64="Starter",IF(AA64&lt;0,"Starter (under on purpose)","Starter too strong"),IF(ABS(AA64)&lt;=Rules!$B$25,"Balanced",IF(AA64&gt;0,"Over budget","Under budget")))</f>
        <v>Balanced</v>
      </c>
    </row>
    <row r="65" customFormat="false" ht="39.55" hidden="false" customHeight="false" outlineLevel="0" collapsed="false">
      <c r="A65" s="10" t="s">
        <v>364</v>
      </c>
      <c r="B65" s="10" t="s">
        <v>365</v>
      </c>
      <c r="C65" s="10" t="s">
        <v>366</v>
      </c>
      <c r="D65" s="10" t="n">
        <v>1</v>
      </c>
      <c r="E65" s="10" t="s">
        <v>345</v>
      </c>
      <c r="F65" s="10" t="s">
        <v>138</v>
      </c>
      <c r="G65" s="11" t="s">
        <v>367</v>
      </c>
      <c r="H65" s="11" t="s">
        <v>368</v>
      </c>
      <c r="I65" s="12"/>
      <c r="J65" s="12"/>
      <c r="K65" s="12" t="n">
        <v>4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1" t="s">
        <v>369</v>
      </c>
      <c r="Y65" s="10" t="n">
        <f aca="false">ROUND((I65*Rules!$B$28+J65*Rules!$B$28*Rules!$B$24+K65*Rules!$B$29+L65*Rules!$B$30+M65*Rules!$B$31+N65*Rules!$B$32+(O65*Rules!$B$33+P65*Rules!$B$34+Q65*Rules!$B$35)*IF(R65="Y",Rules!$B$24,1)+S65*Rules!$B$36-T65*Rules!$B$37+IF(V65="Y",Rules!$B$38,0)+W65)*IF(C65="Power",Rules!$B$23,1),2)</f>
        <v>9.6</v>
      </c>
      <c r="Z65" s="10" t="n">
        <f aca="false">ROUND((D65*Rules!$B$16+Rules!$B$17+IF(E65="Legendary",Rules!$B$21,IF(E65="Rare",Rules!$B$20,IF(E65="Uncommon",Rules!$B$19,Rules!$B$18))))*IF(U65="Y",Rules!$B$22,1),2)</f>
        <v>11</v>
      </c>
      <c r="AA65" s="10" t="n">
        <f aca="false">Y65-Z65</f>
        <v>-1.4</v>
      </c>
      <c r="AB65" s="10" t="str">
        <f aca="false">IF(E65="Starter",IF(AA65&lt;0,"Starter (under on purpose)","Starter too strong"),IF(ABS(AA65)&lt;=Rules!$B$25,"Balanced",IF(AA65&gt;0,"Over budget","Under budget")))</f>
        <v>Balanced</v>
      </c>
    </row>
    <row r="66" customFormat="false" ht="39.55" hidden="false" customHeight="false" outlineLevel="0" collapsed="false">
      <c r="A66" s="10" t="s">
        <v>370</v>
      </c>
      <c r="B66" s="10" t="s">
        <v>371</v>
      </c>
      <c r="C66" s="10" t="s">
        <v>99</v>
      </c>
      <c r="D66" s="10" t="n">
        <v>1</v>
      </c>
      <c r="E66" s="10" t="s">
        <v>345</v>
      </c>
      <c r="F66" s="10" t="s">
        <v>114</v>
      </c>
      <c r="G66" s="11" t="s">
        <v>372</v>
      </c>
      <c r="H66" s="11" t="s">
        <v>373</v>
      </c>
      <c r="I66" s="12"/>
      <c r="J66" s="12"/>
      <c r="K66" s="12"/>
      <c r="L66" s="12"/>
      <c r="M66" s="12" t="n">
        <v>1</v>
      </c>
      <c r="N66" s="12"/>
      <c r="O66" s="12"/>
      <c r="P66" s="12"/>
      <c r="Q66" s="12"/>
      <c r="R66" s="12"/>
      <c r="S66" s="12" t="n">
        <v>2</v>
      </c>
      <c r="T66" s="12"/>
      <c r="U66" s="12"/>
      <c r="V66" s="12"/>
      <c r="W66" s="12"/>
      <c r="X66" s="11" t="s">
        <v>374</v>
      </c>
      <c r="Y66" s="10" t="n">
        <f aca="false">ROUND((I66*Rules!$B$28+J66*Rules!$B$28*Rules!$B$24+K66*Rules!$B$29+L66*Rules!$B$30+M66*Rules!$B$31+N66*Rules!$B$32+(O66*Rules!$B$33+P66*Rules!$B$34+Q66*Rules!$B$35)*IF(R66="Y",Rules!$B$24,1)+S66*Rules!$B$36-T66*Rules!$B$37+IF(V66="Y",Rules!$B$38,0)+W66)*IF(C66="Power",Rules!$B$23,1),2)</f>
        <v>12</v>
      </c>
      <c r="Z66" s="10" t="n">
        <f aca="false">ROUND((D66*Rules!$B$16+Rules!$B$17+IF(E66="Legendary",Rules!$B$21,IF(E66="Rare",Rules!$B$20,IF(E66="Uncommon",Rules!$B$19,Rules!$B$18))))*IF(U66="Y",Rules!$B$22,1),2)</f>
        <v>11</v>
      </c>
      <c r="AA66" s="10" t="n">
        <f aca="false">Y66-Z66</f>
        <v>1</v>
      </c>
      <c r="AB66" s="10" t="str">
        <f aca="false">IF(E66="Starter",IF(AA66&lt;0,"Starter (under on purpose)","Starter too strong"),IF(ABS(AA66)&lt;=Rules!$B$25,"Balanced",IF(AA66&gt;0,"Over budget","Under budget")))</f>
        <v>Balanced</v>
      </c>
    </row>
    <row r="67" customFormat="false" ht="77.6" hidden="false" customHeight="false" outlineLevel="0" collapsed="false">
      <c r="A67" s="10" t="s">
        <v>375</v>
      </c>
      <c r="B67" s="10" t="s">
        <v>376</v>
      </c>
      <c r="C67" s="10" t="s">
        <v>91</v>
      </c>
      <c r="D67" s="10" t="n">
        <v>2</v>
      </c>
      <c r="E67" s="10" t="s">
        <v>345</v>
      </c>
      <c r="F67" s="10" t="s">
        <v>114</v>
      </c>
      <c r="G67" s="11" t="s">
        <v>377</v>
      </c>
      <c r="H67" s="11" t="s">
        <v>378</v>
      </c>
      <c r="I67" s="12" t="n">
        <v>12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 t="n">
        <v>4</v>
      </c>
      <c r="X67" s="11" t="s">
        <v>379</v>
      </c>
      <c r="Y67" s="10" t="n">
        <f aca="false">ROUND((I67*Rules!$B$28+J67*Rules!$B$28*Rules!$B$24+K67*Rules!$B$29+L67*Rules!$B$30+M67*Rules!$B$31+N67*Rules!$B$32+(O67*Rules!$B$33+P67*Rules!$B$34+Q67*Rules!$B$35)*IF(R67="Y",Rules!$B$24,1)+S67*Rules!$B$36-T67*Rules!$B$37+IF(V67="Y",Rules!$B$38,0)+W67)*IF(C67="Power",Rules!$B$23,1),2)</f>
        <v>16</v>
      </c>
      <c r="Z67" s="10" t="n">
        <f aca="false">ROUND((D67*Rules!$B$16+Rules!$B$17+IF(E67="Legendary",Rules!$B$21,IF(E67="Rare",Rules!$B$20,IF(E67="Uncommon",Rules!$B$19,Rules!$B$18))))*IF(U67="Y",Rules!$B$22,1),2)</f>
        <v>17</v>
      </c>
      <c r="AA67" s="10" t="n">
        <f aca="false">Y67-Z67</f>
        <v>-1</v>
      </c>
      <c r="AB67" s="10" t="str">
        <f aca="false">IF(E67="Starter",IF(AA67&lt;0,"Starter (under on purpose)","Starter too strong"),IF(ABS(AA67)&lt;=Rules!$B$25,"Balanced",IF(AA67&gt;0,"Over budget","Under budget")))</f>
        <v>Balanced</v>
      </c>
    </row>
    <row r="68" customFormat="false" ht="90.25" hidden="false" customHeight="false" outlineLevel="0" collapsed="false">
      <c r="A68" s="10" t="s">
        <v>380</v>
      </c>
      <c r="B68" s="10" t="s">
        <v>381</v>
      </c>
      <c r="C68" s="10" t="s">
        <v>366</v>
      </c>
      <c r="D68" s="10" t="n">
        <v>1</v>
      </c>
      <c r="E68" s="10" t="s">
        <v>345</v>
      </c>
      <c r="F68" s="10" t="s">
        <v>133</v>
      </c>
      <c r="G68" s="11" t="s">
        <v>382</v>
      </c>
      <c r="H68" s="11" t="s">
        <v>383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 t="n">
        <v>5.5</v>
      </c>
      <c r="X68" s="11" t="s">
        <v>384</v>
      </c>
      <c r="Y68" s="10" t="n">
        <f aca="false">ROUND((I68*Rules!$B$28+J68*Rules!$B$28*Rules!$B$24+K68*Rules!$B$29+L68*Rules!$B$30+M68*Rules!$B$31+N68*Rules!$B$32+(O68*Rules!$B$33+P68*Rules!$B$34+Q68*Rules!$B$35)*IF(R68="Y",Rules!$B$24,1)+S68*Rules!$B$36-T68*Rules!$B$37+IF(V68="Y",Rules!$B$38,0)+W68)*IF(C68="Power",Rules!$B$23,1),2)</f>
        <v>11</v>
      </c>
      <c r="Z68" s="10" t="n">
        <f aca="false">ROUND((D68*Rules!$B$16+Rules!$B$17+IF(E68="Legendary",Rules!$B$21,IF(E68="Rare",Rules!$B$20,IF(E68="Uncommon",Rules!$B$19,Rules!$B$18))))*IF(U68="Y",Rules!$B$22,1),2)</f>
        <v>11</v>
      </c>
      <c r="AA68" s="10" t="n">
        <f aca="false">Y68-Z68</f>
        <v>0</v>
      </c>
      <c r="AB68" s="10" t="str">
        <f aca="false">IF(E68="Starter",IF(AA68&lt;0,"Starter (under on purpose)","Starter too strong"),IF(ABS(AA68)&lt;=Rules!$B$25,"Balanced",IF(AA68&gt;0,"Over budget","Under budget")))</f>
        <v>Balanced</v>
      </c>
    </row>
    <row r="69" customFormat="false" ht="52.2" hidden="false" customHeight="false" outlineLevel="0" collapsed="false">
      <c r="A69" s="10" t="s">
        <v>385</v>
      </c>
      <c r="B69" s="10" t="s">
        <v>386</v>
      </c>
      <c r="C69" s="10" t="s">
        <v>99</v>
      </c>
      <c r="D69" s="10" t="n">
        <v>1</v>
      </c>
      <c r="E69" s="10" t="s">
        <v>345</v>
      </c>
      <c r="F69" s="10" t="s">
        <v>138</v>
      </c>
      <c r="G69" s="11" t="s">
        <v>387</v>
      </c>
      <c r="H69" s="11" t="s">
        <v>388</v>
      </c>
      <c r="I69" s="12"/>
      <c r="J69" s="12"/>
      <c r="K69" s="12" t="n">
        <v>6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 t="n">
        <v>3.5</v>
      </c>
      <c r="X69" s="11" t="s">
        <v>389</v>
      </c>
      <c r="Y69" s="10" t="n">
        <f aca="false">ROUND((I69*Rules!$B$28+J69*Rules!$B$28*Rules!$B$24+K69*Rules!$B$29+L69*Rules!$B$30+M69*Rules!$B$31+N69*Rules!$B$32+(O69*Rules!$B$33+P69*Rules!$B$34+Q69*Rules!$B$35)*IF(R69="Y",Rules!$B$24,1)+S69*Rules!$B$36-T69*Rules!$B$37+IF(V69="Y",Rules!$B$38,0)+W69)*IF(C69="Power",Rules!$B$23,1),2)</f>
        <v>10.7</v>
      </c>
      <c r="Z69" s="10" t="n">
        <f aca="false">ROUND((D69*Rules!$B$16+Rules!$B$17+IF(E69="Legendary",Rules!$B$21,IF(E69="Rare",Rules!$B$20,IF(E69="Uncommon",Rules!$B$19,Rules!$B$18))))*IF(U69="Y",Rules!$B$22,1),2)</f>
        <v>11</v>
      </c>
      <c r="AA69" s="10" t="n">
        <f aca="false">Y69-Z69</f>
        <v>-0.300000000000001</v>
      </c>
      <c r="AB69" s="10" t="str">
        <f aca="false">IF(E69="Starter",IF(AA69&lt;0,"Starter (under on purpose)","Starter too strong"),IF(ABS(AA69)&lt;=Rules!$B$25,"Balanced",IF(AA69&gt;0,"Over budget","Under budget")))</f>
        <v>Balanced</v>
      </c>
    </row>
    <row r="70" customFormat="false" ht="15" hidden="false" customHeight="false" outlineLevel="0" collapsed="false">
      <c r="A70" s="10" t="s">
        <v>390</v>
      </c>
      <c r="B70" s="10" t="s">
        <v>391</v>
      </c>
      <c r="C70" s="10" t="s">
        <v>91</v>
      </c>
      <c r="D70" s="10" t="n">
        <v>0</v>
      </c>
      <c r="E70" s="10" t="s">
        <v>345</v>
      </c>
      <c r="F70" s="10" t="s">
        <v>114</v>
      </c>
      <c r="G70" s="11" t="s">
        <v>392</v>
      </c>
      <c r="H70" s="11" t="s">
        <v>393</v>
      </c>
      <c r="I70" s="12" t="n">
        <v>8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 t="n">
        <v>2</v>
      </c>
      <c r="U70" s="12"/>
      <c r="V70" s="12"/>
      <c r="W70" s="12"/>
      <c r="X70" s="11"/>
      <c r="Y70" s="10" t="n">
        <f aca="false">ROUND((I70*Rules!$B$28+J70*Rules!$B$28*Rules!$B$24+K70*Rules!$B$29+L70*Rules!$B$30+M70*Rules!$B$31+N70*Rules!$B$32+(O70*Rules!$B$33+P70*Rules!$B$34+Q70*Rules!$B$35)*IF(R70="Y",Rules!$B$24,1)+S70*Rules!$B$36-T70*Rules!$B$37+IF(V70="Y",Rules!$B$38,0)+W70)*IF(C70="Power",Rules!$B$23,1),2)</f>
        <v>5</v>
      </c>
      <c r="Z70" s="10" t="n">
        <f aca="false">ROUND((D70*Rules!$B$16+Rules!$B$17+IF(E70="Legendary",Rules!$B$21,IF(E70="Rare",Rules!$B$20,IF(E70="Uncommon",Rules!$B$19,Rules!$B$18))))*IF(U70="Y",Rules!$B$22,1),2)</f>
        <v>5</v>
      </c>
      <c r="AA70" s="10" t="n">
        <f aca="false">Y70-Z70</f>
        <v>0</v>
      </c>
      <c r="AB70" s="10" t="str">
        <f aca="false">IF(E70="Starter",IF(AA70&lt;0,"Starter (under on purpose)","Starter too strong"),IF(ABS(AA70)&lt;=Rules!$B$25,"Balanced",IF(AA70&gt;0,"Over budget","Under budget")))</f>
        <v>Balanced</v>
      </c>
    </row>
    <row r="71" customFormat="false" ht="102.95" hidden="false" customHeight="false" outlineLevel="0" collapsed="false">
      <c r="A71" s="10" t="s">
        <v>394</v>
      </c>
      <c r="B71" s="10" t="s">
        <v>395</v>
      </c>
      <c r="C71" s="10" t="s">
        <v>99</v>
      </c>
      <c r="D71" s="10" t="n">
        <v>1</v>
      </c>
      <c r="E71" s="10" t="s">
        <v>345</v>
      </c>
      <c r="F71" s="10" t="s">
        <v>147</v>
      </c>
      <c r="G71" s="11" t="s">
        <v>396</v>
      </c>
      <c r="H71" s="11" t="s">
        <v>397</v>
      </c>
      <c r="I71" s="12"/>
      <c r="J71" s="12"/>
      <c r="K71" s="12"/>
      <c r="L71" s="12"/>
      <c r="M71" s="12" t="n">
        <v>3</v>
      </c>
      <c r="N71" s="12"/>
      <c r="O71" s="12"/>
      <c r="P71" s="12"/>
      <c r="Q71" s="12"/>
      <c r="R71" s="12"/>
      <c r="S71" s="12"/>
      <c r="T71" s="12"/>
      <c r="U71" s="12"/>
      <c r="V71" s="12"/>
      <c r="W71" s="12" t="n">
        <v>-1</v>
      </c>
      <c r="X71" s="11" t="s">
        <v>398</v>
      </c>
      <c r="Y71" s="10" t="n">
        <f aca="false">ROUND((I71*Rules!$B$28+J71*Rules!$B$28*Rules!$B$24+K71*Rules!$B$29+L71*Rules!$B$30+M71*Rules!$B$31+N71*Rules!$B$32+(O71*Rules!$B$33+P71*Rules!$B$34+Q71*Rules!$B$35)*IF(R71="Y",Rules!$B$24,1)+S71*Rules!$B$36-T71*Rules!$B$37+IF(V71="Y",Rules!$B$38,0)+W71)*IF(C71="Power",Rules!$B$23,1),2)</f>
        <v>11</v>
      </c>
      <c r="Z71" s="10" t="n">
        <f aca="false">ROUND((D71*Rules!$B$16+Rules!$B$17+IF(E71="Legendary",Rules!$B$21,IF(E71="Rare",Rules!$B$20,IF(E71="Uncommon",Rules!$B$19,Rules!$B$18))))*IF(U71="Y",Rules!$B$22,1),2)</f>
        <v>11</v>
      </c>
      <c r="AA71" s="10" t="n">
        <f aca="false">Y71-Z71</f>
        <v>0</v>
      </c>
      <c r="AB71" s="10" t="str">
        <f aca="false">IF(E71="Starter",IF(AA71&lt;0,"Starter (under on purpose)","Starter too strong"),IF(ABS(AA71)&lt;=Rules!$B$25,"Balanced",IF(AA71&gt;0,"Over budget","Under budget")))</f>
        <v>Balanced</v>
      </c>
    </row>
    <row r="72" customFormat="false" ht="77.6" hidden="false" customHeight="false" outlineLevel="0" collapsed="false">
      <c r="A72" s="10" t="s">
        <v>399</v>
      </c>
      <c r="B72" s="10" t="s">
        <v>400</v>
      </c>
      <c r="C72" s="10" t="s">
        <v>99</v>
      </c>
      <c r="D72" s="10" t="n">
        <v>2</v>
      </c>
      <c r="E72" s="10" t="s">
        <v>345</v>
      </c>
      <c r="F72" s="10" t="s">
        <v>138</v>
      </c>
      <c r="G72" s="11" t="s">
        <v>401</v>
      </c>
      <c r="H72" s="11" t="s">
        <v>402</v>
      </c>
      <c r="I72" s="12"/>
      <c r="J72" s="12"/>
      <c r="K72" s="12" t="n">
        <v>15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1" t="s">
        <v>403</v>
      </c>
      <c r="Y72" s="10" t="n">
        <f aca="false">ROUND((I72*Rules!$B$28+J72*Rules!$B$28*Rules!$B$24+K72*Rules!$B$29+L72*Rules!$B$30+M72*Rules!$B$31+N72*Rules!$B$32+(O72*Rules!$B$33+P72*Rules!$B$34+Q72*Rules!$B$35)*IF(R72="Y",Rules!$B$24,1)+S72*Rules!$B$36-T72*Rules!$B$37+IF(V72="Y",Rules!$B$38,0)+W72)*IF(C72="Power",Rules!$B$23,1),2)</f>
        <v>18</v>
      </c>
      <c r="Z72" s="10" t="n">
        <f aca="false">ROUND((D72*Rules!$B$16+Rules!$B$17+IF(E72="Legendary",Rules!$B$21,IF(E72="Rare",Rules!$B$20,IF(E72="Uncommon",Rules!$B$19,Rules!$B$18))))*IF(U72="Y",Rules!$B$22,1),2)</f>
        <v>17</v>
      </c>
      <c r="AA72" s="10" t="n">
        <f aca="false">Y72-Z72</f>
        <v>1</v>
      </c>
      <c r="AB72" s="10" t="str">
        <f aca="false">IF(E72="Starter",IF(AA72&lt;0,"Starter (under on purpose)","Starter too strong"),IF(ABS(AA72)&lt;=Rules!$B$25,"Balanced",IF(AA72&gt;0,"Over budget","Under budget")))</f>
        <v>Balanced</v>
      </c>
    </row>
    <row r="73" customFormat="false" ht="77.6" hidden="false" customHeight="false" outlineLevel="0" collapsed="false">
      <c r="A73" s="10" t="s">
        <v>404</v>
      </c>
      <c r="B73" s="10" t="s">
        <v>405</v>
      </c>
      <c r="C73" s="10" t="s">
        <v>99</v>
      </c>
      <c r="D73" s="10" t="n">
        <v>1</v>
      </c>
      <c r="E73" s="10" t="s">
        <v>345</v>
      </c>
      <c r="F73" s="10" t="s">
        <v>133</v>
      </c>
      <c r="G73" s="11" t="s">
        <v>406</v>
      </c>
      <c r="H73" s="11" t="s">
        <v>407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174</v>
      </c>
      <c r="V73" s="12"/>
      <c r="W73" s="12" t="n">
        <v>14</v>
      </c>
      <c r="X73" s="11" t="s">
        <v>408</v>
      </c>
      <c r="Y73" s="10" t="n">
        <f aca="false">ROUND((I73*Rules!$B$28+J73*Rules!$B$28*Rules!$B$24+K73*Rules!$B$29+L73*Rules!$B$30+M73*Rules!$B$31+N73*Rules!$B$32+(O73*Rules!$B$33+P73*Rules!$B$34+Q73*Rules!$B$35)*IF(R73="Y",Rules!$B$24,1)+S73*Rules!$B$36-T73*Rules!$B$37+IF(V73="Y",Rules!$B$38,0)+W73)*IF(C73="Power",Rules!$B$23,1),2)</f>
        <v>14</v>
      </c>
      <c r="Z73" s="10" t="n">
        <f aca="false">ROUND((D73*Rules!$B$16+Rules!$B$17+IF(E73="Legendary",Rules!$B$21,IF(E73="Rare",Rules!$B$20,IF(E73="Uncommon",Rules!$B$19,Rules!$B$18))))*IF(U73="Y",Rules!$B$22,1),2)</f>
        <v>14.3</v>
      </c>
      <c r="AA73" s="10" t="n">
        <f aca="false">Y73-Z73</f>
        <v>-0.300000000000001</v>
      </c>
      <c r="AB73" s="10" t="str">
        <f aca="false">IF(E73="Starter",IF(AA73&lt;0,"Starter (under on purpose)","Starter too strong"),IF(ABS(AA73)&lt;=Rules!$B$25,"Balanced",IF(AA73&gt;0,"Over budget","Under budget")))</f>
        <v>Balanced</v>
      </c>
    </row>
    <row r="74" customFormat="false" ht="15" hidden="false" customHeight="false" outlineLevel="0" collapsed="false">
      <c r="A74" s="10" t="s">
        <v>409</v>
      </c>
      <c r="B74" s="10" t="s">
        <v>410</v>
      </c>
      <c r="C74" s="10" t="s">
        <v>99</v>
      </c>
      <c r="D74" s="10" t="n">
        <v>1</v>
      </c>
      <c r="E74" s="10" t="s">
        <v>345</v>
      </c>
      <c r="F74" s="10" t="s">
        <v>93</v>
      </c>
      <c r="G74" s="11" t="s">
        <v>411</v>
      </c>
      <c r="H74" s="11" t="s">
        <v>412</v>
      </c>
      <c r="I74" s="12"/>
      <c r="J74" s="12"/>
      <c r="K74" s="12" t="n">
        <v>6</v>
      </c>
      <c r="L74" s="12" t="n">
        <v>3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1"/>
      <c r="Y74" s="10" t="n">
        <f aca="false">ROUND((I74*Rules!$B$28+J74*Rules!$B$28*Rules!$B$24+K74*Rules!$B$29+L74*Rules!$B$30+M74*Rules!$B$31+N74*Rules!$B$32+(O74*Rules!$B$33+P74*Rules!$B$34+Q74*Rules!$B$35)*IF(R74="Y",Rules!$B$24,1)+S74*Rules!$B$36-T74*Rules!$B$37+IF(V74="Y",Rules!$B$38,0)+W74)*IF(C74="Power",Rules!$B$23,1),2)</f>
        <v>11.7</v>
      </c>
      <c r="Z74" s="10" t="n">
        <f aca="false">ROUND((D74*Rules!$B$16+Rules!$B$17+IF(E74="Legendary",Rules!$B$21,IF(E74="Rare",Rules!$B$20,IF(E74="Uncommon",Rules!$B$19,Rules!$B$18))))*IF(U74="Y",Rules!$B$22,1),2)</f>
        <v>11</v>
      </c>
      <c r="AA74" s="10" t="n">
        <f aca="false">Y74-Z74</f>
        <v>0.699999999999999</v>
      </c>
      <c r="AB74" s="10" t="str">
        <f aca="false">IF(E74="Starter",IF(AA74&lt;0,"Starter (under on purpose)","Starter too strong"),IF(ABS(AA74)&lt;=Rules!$B$25,"Balanced",IF(AA74&gt;0,"Over budget","Under budget")))</f>
        <v>Balanced</v>
      </c>
    </row>
    <row r="75" customFormat="false" ht="15" hidden="false" customHeight="false" outlineLevel="0" collapsed="false">
      <c r="A75" s="10" t="s">
        <v>413</v>
      </c>
      <c r="B75" s="10" t="s">
        <v>414</v>
      </c>
      <c r="C75" s="10" t="s">
        <v>99</v>
      </c>
      <c r="D75" s="10" t="n">
        <v>0</v>
      </c>
      <c r="E75" s="10" t="s">
        <v>345</v>
      </c>
      <c r="F75" s="10" t="s">
        <v>93</v>
      </c>
      <c r="G75" s="11" t="s">
        <v>192</v>
      </c>
      <c r="H75" s="11" t="s">
        <v>415</v>
      </c>
      <c r="I75" s="12"/>
      <c r="J75" s="12"/>
      <c r="K75" s="12"/>
      <c r="L75" s="12"/>
      <c r="M75" s="12" t="n">
        <v>2</v>
      </c>
      <c r="N75" s="12"/>
      <c r="O75" s="12"/>
      <c r="P75" s="12"/>
      <c r="Q75" s="12"/>
      <c r="R75" s="12"/>
      <c r="S75" s="12"/>
      <c r="T75" s="12"/>
      <c r="U75" s="12" t="s">
        <v>174</v>
      </c>
      <c r="V75" s="12"/>
      <c r="W75" s="12"/>
      <c r="X75" s="11"/>
      <c r="Y75" s="10" t="n">
        <f aca="false">ROUND((I75*Rules!$B$28+J75*Rules!$B$28*Rules!$B$24+K75*Rules!$B$29+L75*Rules!$B$30+M75*Rules!$B$31+N75*Rules!$B$32+(O75*Rules!$B$33+P75*Rules!$B$34+Q75*Rules!$B$35)*IF(R75="Y",Rules!$B$24,1)+S75*Rules!$B$36-T75*Rules!$B$37+IF(V75="Y",Rules!$B$38,0)+W75)*IF(C75="Power",Rules!$B$23,1),2)</f>
        <v>8</v>
      </c>
      <c r="Z75" s="10" t="n">
        <f aca="false">ROUND((D75*Rules!$B$16+Rules!$B$17+IF(E75="Legendary",Rules!$B$21,IF(E75="Rare",Rules!$B$20,IF(E75="Uncommon",Rules!$B$19,Rules!$B$18))))*IF(U75="Y",Rules!$B$22,1),2)</f>
        <v>6.5</v>
      </c>
      <c r="AA75" s="10" t="n">
        <f aca="false">Y75-Z75</f>
        <v>1.5</v>
      </c>
      <c r="AB75" s="10" t="str">
        <f aca="false">IF(E75="Starter",IF(AA75&lt;0,"Starter (under on purpose)","Starter too strong"),IF(ABS(AA75)&lt;=Rules!$B$25,"Balanced",IF(AA75&gt;0,"Over budget","Under budget")))</f>
        <v>Balanced</v>
      </c>
    </row>
    <row r="76" customFormat="false" ht="141" hidden="false" customHeight="false" outlineLevel="0" collapsed="false">
      <c r="A76" s="10" t="s">
        <v>416</v>
      </c>
      <c r="B76" s="10" t="s">
        <v>417</v>
      </c>
      <c r="C76" s="10" t="s">
        <v>366</v>
      </c>
      <c r="D76" s="10" t="n">
        <v>1</v>
      </c>
      <c r="E76" s="10" t="s">
        <v>345</v>
      </c>
      <c r="F76" s="10" t="s">
        <v>93</v>
      </c>
      <c r="G76" s="11" t="s">
        <v>418</v>
      </c>
      <c r="H76" s="11" t="s">
        <v>419</v>
      </c>
      <c r="I76" s="12"/>
      <c r="J76" s="12"/>
      <c r="K76" s="12"/>
      <c r="L76" s="12"/>
      <c r="M76" s="12" t="n">
        <v>1</v>
      </c>
      <c r="N76" s="12"/>
      <c r="O76" s="12"/>
      <c r="P76" s="12"/>
      <c r="Q76" s="12"/>
      <c r="R76" s="12"/>
      <c r="S76" s="12"/>
      <c r="T76" s="12"/>
      <c r="U76" s="12"/>
      <c r="V76" s="12"/>
      <c r="W76" s="12" t="n">
        <v>1.5</v>
      </c>
      <c r="X76" s="11" t="s">
        <v>420</v>
      </c>
      <c r="Y76" s="10" t="n">
        <f aca="false">ROUND((I76*Rules!$B$28+J76*Rules!$B$28*Rules!$B$24+K76*Rules!$B$29+L76*Rules!$B$30+M76*Rules!$B$31+N76*Rules!$B$32+(O76*Rules!$B$33+P76*Rules!$B$34+Q76*Rules!$B$35)*IF(R76="Y",Rules!$B$24,1)+S76*Rules!$B$36-T76*Rules!$B$37+IF(V76="Y",Rules!$B$38,0)+W76)*IF(C76="Power",Rules!$B$23,1),2)</f>
        <v>11</v>
      </c>
      <c r="Z76" s="10" t="n">
        <f aca="false">ROUND((D76*Rules!$B$16+Rules!$B$17+IF(E76="Legendary",Rules!$B$21,IF(E76="Rare",Rules!$B$20,IF(E76="Uncommon",Rules!$B$19,Rules!$B$18))))*IF(U76="Y",Rules!$B$22,1),2)</f>
        <v>11</v>
      </c>
      <c r="AA76" s="10" t="n">
        <f aca="false">Y76-Z76</f>
        <v>0</v>
      </c>
      <c r="AB76" s="10" t="str">
        <f aca="false">IF(E76="Starter",IF(AA76&lt;0,"Starter (under on purpose)","Starter too strong"),IF(ABS(AA76)&lt;=Rules!$B$25,"Balanced",IF(AA76&gt;0,"Over budget","Under budget")))</f>
        <v>Balanced</v>
      </c>
    </row>
    <row r="77" customFormat="false" ht="26.85" hidden="false" customHeight="false" outlineLevel="0" collapsed="false">
      <c r="A77" s="10" t="s">
        <v>421</v>
      </c>
      <c r="B77" s="10" t="s">
        <v>422</v>
      </c>
      <c r="C77" s="10" t="s">
        <v>91</v>
      </c>
      <c r="D77" s="10" t="n">
        <v>1</v>
      </c>
      <c r="E77" s="10" t="s">
        <v>345</v>
      </c>
      <c r="F77" s="10" t="s">
        <v>114</v>
      </c>
      <c r="G77" s="11" t="s">
        <v>423</v>
      </c>
      <c r="H77" s="11" t="s">
        <v>424</v>
      </c>
      <c r="I77" s="12"/>
      <c r="J77" s="12" t="n">
        <v>5</v>
      </c>
      <c r="K77" s="12"/>
      <c r="L77" s="12"/>
      <c r="M77" s="12"/>
      <c r="N77" s="12"/>
      <c r="O77" s="12"/>
      <c r="P77" s="12"/>
      <c r="Q77" s="12"/>
      <c r="R77" s="12"/>
      <c r="S77" s="12" t="n">
        <v>1</v>
      </c>
      <c r="T77" s="12"/>
      <c r="U77" s="12"/>
      <c r="V77" s="12"/>
      <c r="W77" s="12"/>
      <c r="X77" s="11"/>
      <c r="Y77" s="10" t="n">
        <f aca="false">ROUND((I77*Rules!$B$28+J77*Rules!$B$28*Rules!$B$24+K77*Rules!$B$29+L77*Rules!$B$30+M77*Rules!$B$31+N77*Rules!$B$32+(O77*Rules!$B$33+P77*Rules!$B$34+Q77*Rules!$B$35)*IF(R77="Y",Rules!$B$24,1)+S77*Rules!$B$36-T77*Rules!$B$37+IF(V77="Y",Rules!$B$38,0)+W77)*IF(C77="Power",Rules!$B$23,1),2)</f>
        <v>11.5</v>
      </c>
      <c r="Z77" s="10" t="n">
        <f aca="false">ROUND((D77*Rules!$B$16+Rules!$B$17+IF(E77="Legendary",Rules!$B$21,IF(E77="Rare",Rules!$B$20,IF(E77="Uncommon",Rules!$B$19,Rules!$B$18))))*IF(U77="Y",Rules!$B$22,1),2)</f>
        <v>11</v>
      </c>
      <c r="AA77" s="10" t="n">
        <f aca="false">Y77-Z77</f>
        <v>0.5</v>
      </c>
      <c r="AB77" s="10" t="str">
        <f aca="false">IF(E77="Starter",IF(AA77&lt;0,"Starter (under on purpose)","Starter too strong"),IF(ABS(AA77)&lt;=Rules!$B$25,"Balanced",IF(AA77&gt;0,"Over budget","Under budget")))</f>
        <v>Balanced</v>
      </c>
    </row>
    <row r="78" customFormat="false" ht="128.35" hidden="false" customHeight="false" outlineLevel="0" collapsed="false">
      <c r="A78" s="10" t="s">
        <v>425</v>
      </c>
      <c r="B78" s="10" t="s">
        <v>426</v>
      </c>
      <c r="C78" s="10" t="s">
        <v>366</v>
      </c>
      <c r="D78" s="10" t="n">
        <v>2</v>
      </c>
      <c r="E78" s="10" t="s">
        <v>345</v>
      </c>
      <c r="F78" s="10" t="s">
        <v>114</v>
      </c>
      <c r="G78" s="11" t="s">
        <v>427</v>
      </c>
      <c r="H78" s="11" t="s">
        <v>428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 t="n">
        <v>1</v>
      </c>
      <c r="T78" s="12"/>
      <c r="U78" s="12"/>
      <c r="V78" s="12"/>
      <c r="W78" s="12" t="n">
        <v>4.5</v>
      </c>
      <c r="X78" s="11" t="s">
        <v>429</v>
      </c>
      <c r="Y78" s="10" t="n">
        <f aca="false">ROUND((I78*Rules!$B$28+J78*Rules!$B$28*Rules!$B$24+K78*Rules!$B$29+L78*Rules!$B$30+M78*Rules!$B$31+N78*Rules!$B$32+(O78*Rules!$B$33+P78*Rules!$B$34+Q78*Rules!$B$35)*IF(R78="Y",Rules!$B$24,1)+S78*Rules!$B$36-T78*Rules!$B$37+IF(V78="Y",Rules!$B$38,0)+W78)*IF(C78="Power",Rules!$B$23,1),2)</f>
        <v>17</v>
      </c>
      <c r="Z78" s="10" t="n">
        <f aca="false">ROUND((D78*Rules!$B$16+Rules!$B$17+IF(E78="Legendary",Rules!$B$21,IF(E78="Rare",Rules!$B$20,IF(E78="Uncommon",Rules!$B$19,Rules!$B$18))))*IF(U78="Y",Rules!$B$22,1),2)</f>
        <v>17</v>
      </c>
      <c r="AA78" s="10" t="n">
        <f aca="false">Y78-Z78</f>
        <v>0</v>
      </c>
      <c r="AB78" s="10" t="str">
        <f aca="false">IF(E78="Starter",IF(AA78&lt;0,"Starter (under on purpose)","Starter too strong"),IF(ABS(AA78)&lt;=Rules!$B$25,"Balanced",IF(AA78&gt;0,"Over budget","Under budget")))</f>
        <v>Balanced</v>
      </c>
    </row>
    <row r="79" customFormat="false" ht="77.6" hidden="false" customHeight="false" outlineLevel="0" collapsed="false">
      <c r="A79" s="10" t="s">
        <v>430</v>
      </c>
      <c r="B79" s="10" t="s">
        <v>431</v>
      </c>
      <c r="C79" s="10" t="s">
        <v>91</v>
      </c>
      <c r="D79" s="10" t="n">
        <v>1</v>
      </c>
      <c r="E79" s="10" t="s">
        <v>345</v>
      </c>
      <c r="F79" s="10" t="s">
        <v>114</v>
      </c>
      <c r="G79" s="11" t="s">
        <v>432</v>
      </c>
      <c r="H79" s="11" t="s">
        <v>433</v>
      </c>
      <c r="I79" s="12" t="n">
        <v>12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174</v>
      </c>
      <c r="V79" s="12"/>
      <c r="W79" s="12" t="n">
        <v>1.5</v>
      </c>
      <c r="X79" s="11" t="s">
        <v>225</v>
      </c>
      <c r="Y79" s="10" t="n">
        <f aca="false">ROUND((I79*Rules!$B$28+J79*Rules!$B$28*Rules!$B$24+K79*Rules!$B$29+L79*Rules!$B$30+M79*Rules!$B$31+N79*Rules!$B$32+(O79*Rules!$B$33+P79*Rules!$B$34+Q79*Rules!$B$35)*IF(R79="Y",Rules!$B$24,1)+S79*Rules!$B$36-T79*Rules!$B$37+IF(V79="Y",Rules!$B$38,0)+W79)*IF(C79="Power",Rules!$B$23,1),2)</f>
        <v>13.5</v>
      </c>
      <c r="Z79" s="10" t="n">
        <f aca="false">ROUND((D79*Rules!$B$16+Rules!$B$17+IF(E79="Legendary",Rules!$B$21,IF(E79="Rare",Rules!$B$20,IF(E79="Uncommon",Rules!$B$19,Rules!$B$18))))*IF(U79="Y",Rules!$B$22,1),2)</f>
        <v>14.3</v>
      </c>
      <c r="AA79" s="10" t="n">
        <f aca="false">Y79-Z79</f>
        <v>-0.800000000000001</v>
      </c>
      <c r="AB79" s="10" t="str">
        <f aca="false">IF(E79="Starter",IF(AA79&lt;0,"Starter (under on purpose)","Starter too strong"),IF(ABS(AA79)&lt;=Rules!$B$25,"Balanced",IF(AA79&gt;0,"Over budget","Under budget")))</f>
        <v>Balanced</v>
      </c>
    </row>
    <row r="80" customFormat="false" ht="15" hidden="false" customHeight="false" outlineLevel="0" collapsed="false">
      <c r="A80" s="10" t="s">
        <v>434</v>
      </c>
      <c r="B80" s="10" t="s">
        <v>435</v>
      </c>
      <c r="C80" s="10" t="s">
        <v>91</v>
      </c>
      <c r="D80" s="10" t="n">
        <v>2</v>
      </c>
      <c r="E80" s="10" t="s">
        <v>345</v>
      </c>
      <c r="F80" s="10" t="s">
        <v>114</v>
      </c>
      <c r="G80" s="11" t="s">
        <v>436</v>
      </c>
      <c r="H80" s="11" t="s">
        <v>437</v>
      </c>
      <c r="I80" s="12" t="n">
        <v>14</v>
      </c>
      <c r="J80" s="12"/>
      <c r="K80" s="12"/>
      <c r="L80" s="12"/>
      <c r="M80" s="12"/>
      <c r="N80" s="12"/>
      <c r="O80" s="12" t="n">
        <v>1</v>
      </c>
      <c r="P80" s="12"/>
      <c r="Q80" s="12"/>
      <c r="R80" s="12"/>
      <c r="S80" s="12"/>
      <c r="T80" s="12"/>
      <c r="U80" s="12"/>
      <c r="V80" s="12"/>
      <c r="W80" s="12"/>
      <c r="X80" s="11"/>
      <c r="Y80" s="10" t="n">
        <f aca="false">ROUND((I80*Rules!$B$28+J80*Rules!$B$28*Rules!$B$24+K80*Rules!$B$29+L80*Rules!$B$30+M80*Rules!$B$31+N80*Rules!$B$32+(O80*Rules!$B$33+P80*Rules!$B$34+Q80*Rules!$B$35)*IF(R80="Y",Rules!$B$24,1)+S80*Rules!$B$36-T80*Rules!$B$37+IF(V80="Y",Rules!$B$38,0)+W80)*IF(C80="Power",Rules!$B$23,1),2)</f>
        <v>17</v>
      </c>
      <c r="Z80" s="10" t="n">
        <f aca="false">ROUND((D80*Rules!$B$16+Rules!$B$17+IF(E80="Legendary",Rules!$B$21,IF(E80="Rare",Rules!$B$20,IF(E80="Uncommon",Rules!$B$19,Rules!$B$18))))*IF(U80="Y",Rules!$B$22,1),2)</f>
        <v>17</v>
      </c>
      <c r="AA80" s="10" t="n">
        <f aca="false">Y80-Z80</f>
        <v>0</v>
      </c>
      <c r="AB80" s="10" t="str">
        <f aca="false">IF(E80="Starter",IF(AA80&lt;0,"Starter (under on purpose)","Starter too strong"),IF(ABS(AA80)&lt;=Rules!$B$25,"Balanced",IF(AA80&gt;0,"Over budget","Under budget")))</f>
        <v>Balanced</v>
      </c>
    </row>
    <row r="81" customFormat="false" ht="15" hidden="false" customHeight="false" outlineLevel="0" collapsed="false">
      <c r="A81" s="10" t="s">
        <v>438</v>
      </c>
      <c r="B81" s="10" t="s">
        <v>439</v>
      </c>
      <c r="C81" s="10" t="s">
        <v>91</v>
      </c>
      <c r="D81" s="10" t="n">
        <v>2</v>
      </c>
      <c r="E81" s="10" t="s">
        <v>345</v>
      </c>
      <c r="F81" s="10" t="s">
        <v>114</v>
      </c>
      <c r="G81" s="11" t="s">
        <v>440</v>
      </c>
      <c r="H81" s="11" t="s">
        <v>441</v>
      </c>
      <c r="I81" s="12" t="n">
        <v>20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 t="n">
        <v>2</v>
      </c>
      <c r="U81" s="12"/>
      <c r="V81" s="12"/>
      <c r="W81" s="12"/>
      <c r="X81" s="11"/>
      <c r="Y81" s="10" t="n">
        <f aca="false">ROUND((I81*Rules!$B$28+J81*Rules!$B$28*Rules!$B$24+K81*Rules!$B$29+L81*Rules!$B$30+M81*Rules!$B$31+N81*Rules!$B$32+(O81*Rules!$B$33+P81*Rules!$B$34+Q81*Rules!$B$35)*IF(R81="Y",Rules!$B$24,1)+S81*Rules!$B$36-T81*Rules!$B$37+IF(V81="Y",Rules!$B$38,0)+W81)*IF(C81="Power",Rules!$B$23,1),2)</f>
        <v>17</v>
      </c>
      <c r="Z81" s="10" t="n">
        <f aca="false">ROUND((D81*Rules!$B$16+Rules!$B$17+IF(E81="Legendary",Rules!$B$21,IF(E81="Rare",Rules!$B$20,IF(E81="Uncommon",Rules!$B$19,Rules!$B$18))))*IF(U81="Y",Rules!$B$22,1),2)</f>
        <v>17</v>
      </c>
      <c r="AA81" s="10" t="n">
        <f aca="false">Y81-Z81</f>
        <v>0</v>
      </c>
      <c r="AB81" s="10" t="str">
        <f aca="false">IF(E81="Starter",IF(AA81&lt;0,"Starter (under on purpose)","Starter too strong"),IF(ABS(AA81)&lt;=Rules!$B$25,"Balanced",IF(AA81&gt;0,"Over budget","Under budget")))</f>
        <v>Balanced</v>
      </c>
    </row>
    <row r="82" customFormat="false" ht="128.35" hidden="false" customHeight="false" outlineLevel="0" collapsed="false">
      <c r="A82" s="10" t="s">
        <v>442</v>
      </c>
      <c r="B82" s="10" t="s">
        <v>443</v>
      </c>
      <c r="C82" s="10" t="s">
        <v>99</v>
      </c>
      <c r="D82" s="10" t="n">
        <v>2</v>
      </c>
      <c r="E82" s="10" t="s">
        <v>345</v>
      </c>
      <c r="F82" s="10" t="s">
        <v>138</v>
      </c>
      <c r="G82" s="11" t="s">
        <v>444</v>
      </c>
      <c r="H82" s="11" t="s">
        <v>445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 t="n">
        <v>16.5</v>
      </c>
      <c r="X82" s="11" t="s">
        <v>446</v>
      </c>
      <c r="Y82" s="10" t="n">
        <f aca="false">ROUND((I82*Rules!$B$28+J82*Rules!$B$28*Rules!$B$24+K82*Rules!$B$29+L82*Rules!$B$30+M82*Rules!$B$31+N82*Rules!$B$32+(O82*Rules!$B$33+P82*Rules!$B$34+Q82*Rules!$B$35)*IF(R82="Y",Rules!$B$24,1)+S82*Rules!$B$36-T82*Rules!$B$37+IF(V82="Y",Rules!$B$38,0)+W82)*IF(C82="Power",Rules!$B$23,1),2)</f>
        <v>16.5</v>
      </c>
      <c r="Z82" s="10" t="n">
        <f aca="false">ROUND((D82*Rules!$B$16+Rules!$B$17+IF(E82="Legendary",Rules!$B$21,IF(E82="Rare",Rules!$B$20,IF(E82="Uncommon",Rules!$B$19,Rules!$B$18))))*IF(U82="Y",Rules!$B$22,1),2)</f>
        <v>17</v>
      </c>
      <c r="AA82" s="10" t="n">
        <f aca="false">Y82-Z82</f>
        <v>-0.5</v>
      </c>
      <c r="AB82" s="10" t="str">
        <f aca="false">IF(E82="Starter",IF(AA82&lt;0,"Starter (under on purpose)","Starter too strong"),IF(ABS(AA82)&lt;=Rules!$B$25,"Balanced",IF(AA82&gt;0,"Over budget","Under budget")))</f>
        <v>Balanced</v>
      </c>
    </row>
    <row r="83" customFormat="false" ht="15" hidden="false" customHeight="false" outlineLevel="0" collapsed="false">
      <c r="A83" s="10" t="s">
        <v>447</v>
      </c>
      <c r="B83" s="10" t="s">
        <v>448</v>
      </c>
      <c r="C83" s="10" t="s">
        <v>99</v>
      </c>
      <c r="D83" s="10" t="n">
        <v>0</v>
      </c>
      <c r="E83" s="10" t="s">
        <v>345</v>
      </c>
      <c r="F83" s="10" t="s">
        <v>138</v>
      </c>
      <c r="G83" s="11" t="s">
        <v>449</v>
      </c>
      <c r="H83" s="11" t="s">
        <v>450</v>
      </c>
      <c r="I83" s="12"/>
      <c r="J83" s="12"/>
      <c r="K83" s="12" t="n">
        <v>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 t="s">
        <v>174</v>
      </c>
      <c r="W83" s="12"/>
      <c r="X83" s="11"/>
      <c r="Y83" s="10" t="n">
        <f aca="false">ROUND((I83*Rules!$B$28+J83*Rules!$B$28*Rules!$B$24+K83*Rules!$B$29+L83*Rules!$B$30+M83*Rules!$B$31+N83*Rules!$B$32+(O83*Rules!$B$33+P83*Rules!$B$34+Q83*Rules!$B$35)*IF(R83="Y",Rules!$B$24,1)+S83*Rules!$B$36-T83*Rules!$B$37+IF(V83="Y",Rules!$B$38,0)+W83)*IF(C83="Power",Rules!$B$23,1),2)</f>
        <v>5.6</v>
      </c>
      <c r="Z83" s="10" t="n">
        <f aca="false">ROUND((D83*Rules!$B$16+Rules!$B$17+IF(E83="Legendary",Rules!$B$21,IF(E83="Rare",Rules!$B$20,IF(E83="Uncommon",Rules!$B$19,Rules!$B$18))))*IF(U83="Y",Rules!$B$22,1),2)</f>
        <v>5</v>
      </c>
      <c r="AA83" s="10" t="n">
        <f aca="false">Y83-Z83</f>
        <v>0.6</v>
      </c>
      <c r="AB83" s="10" t="str">
        <f aca="false">IF(E83="Starter",IF(AA83&lt;0,"Starter (under on purpose)","Starter too strong"),IF(ABS(AA83)&lt;=Rules!$B$25,"Balanced",IF(AA83&gt;0,"Over budget","Under budget")))</f>
        <v>Balanced</v>
      </c>
    </row>
    <row r="84" customFormat="false" ht="26.85" hidden="false" customHeight="false" outlineLevel="0" collapsed="false">
      <c r="A84" s="10" t="s">
        <v>451</v>
      </c>
      <c r="B84" s="10" t="s">
        <v>452</v>
      </c>
      <c r="C84" s="10" t="s">
        <v>91</v>
      </c>
      <c r="D84" s="10" t="n">
        <v>1</v>
      </c>
      <c r="E84" s="10" t="s">
        <v>345</v>
      </c>
      <c r="F84" s="10" t="s">
        <v>138</v>
      </c>
      <c r="G84" s="11" t="s">
        <v>453</v>
      </c>
      <c r="H84" s="11" t="s">
        <v>454</v>
      </c>
      <c r="I84" s="12"/>
      <c r="J84" s="12" t="n">
        <v>6</v>
      </c>
      <c r="K84" s="12" t="n">
        <v>2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1"/>
      <c r="Y84" s="10" t="n">
        <f aca="false">ROUND((I84*Rules!$B$28+J84*Rules!$B$28*Rules!$B$24+K84*Rules!$B$29+L84*Rules!$B$30+M84*Rules!$B$31+N84*Rules!$B$32+(O84*Rules!$B$33+P84*Rules!$B$34+Q84*Rules!$B$35)*IF(R84="Y",Rules!$B$24,1)+S84*Rules!$B$36-T84*Rules!$B$37+IF(V84="Y",Rules!$B$38,0)+W84)*IF(C84="Power",Rules!$B$23,1),2)</f>
        <v>11.4</v>
      </c>
      <c r="Z84" s="10" t="n">
        <f aca="false">ROUND((D84*Rules!$B$16+Rules!$B$17+IF(E84="Legendary",Rules!$B$21,IF(E84="Rare",Rules!$B$20,IF(E84="Uncommon",Rules!$B$19,Rules!$B$18))))*IF(U84="Y",Rules!$B$22,1),2)</f>
        <v>11</v>
      </c>
      <c r="AA84" s="10" t="n">
        <f aca="false">Y84-Z84</f>
        <v>0.4</v>
      </c>
      <c r="AB84" s="10" t="str">
        <f aca="false">IF(E84="Starter",IF(AA84&lt;0,"Starter (under on purpose)","Starter too strong"),IF(ABS(AA84)&lt;=Rules!$B$25,"Balanced",IF(AA84&gt;0,"Over budget","Under budget")))</f>
        <v>Balanced</v>
      </c>
    </row>
    <row r="85" customFormat="false" ht="15" hidden="false" customHeight="false" outlineLevel="0" collapsed="false">
      <c r="A85" s="10" t="s">
        <v>455</v>
      </c>
      <c r="B85" s="10" t="s">
        <v>456</v>
      </c>
      <c r="C85" s="10" t="s">
        <v>99</v>
      </c>
      <c r="D85" s="10" t="n">
        <v>1</v>
      </c>
      <c r="E85" s="10" t="s">
        <v>345</v>
      </c>
      <c r="F85" s="10" t="s">
        <v>138</v>
      </c>
      <c r="G85" s="11" t="s">
        <v>251</v>
      </c>
      <c r="H85" s="11" t="s">
        <v>457</v>
      </c>
      <c r="I85" s="12"/>
      <c r="J85" s="12"/>
      <c r="K85" s="12" t="n">
        <v>8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 t="s">
        <v>174</v>
      </c>
      <c r="W85" s="12"/>
      <c r="X85" s="11"/>
      <c r="Y85" s="10" t="n">
        <f aca="false">ROUND((I85*Rules!$B$28+J85*Rules!$B$28*Rules!$B$24+K85*Rules!$B$29+L85*Rules!$B$30+M85*Rules!$B$31+N85*Rules!$B$32+(O85*Rules!$B$33+P85*Rules!$B$34+Q85*Rules!$B$35)*IF(R85="Y",Rules!$B$24,1)+S85*Rules!$B$36-T85*Rules!$B$37+IF(V85="Y",Rules!$B$38,0)+W85)*IF(C85="Power",Rules!$B$23,1),2)</f>
        <v>11.6</v>
      </c>
      <c r="Z85" s="10" t="n">
        <f aca="false">ROUND((D85*Rules!$B$16+Rules!$B$17+IF(E85="Legendary",Rules!$B$21,IF(E85="Rare",Rules!$B$20,IF(E85="Uncommon",Rules!$B$19,Rules!$B$18))))*IF(U85="Y",Rules!$B$22,1),2)</f>
        <v>11</v>
      </c>
      <c r="AA85" s="10" t="n">
        <f aca="false">Y85-Z85</f>
        <v>0.6</v>
      </c>
      <c r="AB85" s="10" t="str">
        <f aca="false">IF(E85="Starter",IF(AA85&lt;0,"Starter (under on purpose)","Starter too strong"),IF(ABS(AA85)&lt;=Rules!$B$25,"Balanced",IF(AA85&gt;0,"Over budget","Under budget")))</f>
        <v>Balanced</v>
      </c>
    </row>
    <row r="86" customFormat="false" ht="15" hidden="false" customHeight="false" outlineLevel="0" collapsed="false">
      <c r="A86" s="10" t="s">
        <v>458</v>
      </c>
      <c r="B86" s="10" t="s">
        <v>459</v>
      </c>
      <c r="C86" s="10" t="s">
        <v>99</v>
      </c>
      <c r="D86" s="10" t="n">
        <v>2</v>
      </c>
      <c r="E86" s="10" t="s">
        <v>345</v>
      </c>
      <c r="F86" s="10" t="s">
        <v>138</v>
      </c>
      <c r="G86" s="11" t="s">
        <v>460</v>
      </c>
      <c r="H86" s="11" t="s">
        <v>461</v>
      </c>
      <c r="I86" s="12"/>
      <c r="J86" s="12"/>
      <c r="K86" s="12" t="n">
        <v>8</v>
      </c>
      <c r="L86" s="12"/>
      <c r="M86" s="12"/>
      <c r="N86" s="12"/>
      <c r="O86" s="12" t="n">
        <v>2</v>
      </c>
      <c r="P86" s="12"/>
      <c r="Q86" s="12"/>
      <c r="R86" s="12"/>
      <c r="S86" s="12"/>
      <c r="T86" s="12"/>
      <c r="U86" s="12"/>
      <c r="V86" s="12"/>
      <c r="W86" s="12"/>
      <c r="X86" s="11"/>
      <c r="Y86" s="10" t="n">
        <f aca="false">ROUND((I86*Rules!$B$28+J86*Rules!$B$28*Rules!$B$24+K86*Rules!$B$29+L86*Rules!$B$30+M86*Rules!$B$31+N86*Rules!$B$32+(O86*Rules!$B$33+P86*Rules!$B$34+Q86*Rules!$B$35)*IF(R86="Y",Rules!$B$24,1)+S86*Rules!$B$36-T86*Rules!$B$37+IF(V86="Y",Rules!$B$38,0)+W86)*IF(C86="Power",Rules!$B$23,1),2)</f>
        <v>15.6</v>
      </c>
      <c r="Z86" s="10" t="n">
        <f aca="false">ROUND((D86*Rules!$B$16+Rules!$B$17+IF(E86="Legendary",Rules!$B$21,IF(E86="Rare",Rules!$B$20,IF(E86="Uncommon",Rules!$B$19,Rules!$B$18))))*IF(U86="Y",Rules!$B$22,1),2)</f>
        <v>17</v>
      </c>
      <c r="AA86" s="10" t="n">
        <f aca="false">Y86-Z86</f>
        <v>-1.4</v>
      </c>
      <c r="AB86" s="10" t="str">
        <f aca="false">IF(E86="Starter",IF(AA86&lt;0,"Starter (under on purpose)","Starter too strong"),IF(ABS(AA86)&lt;=Rules!$B$25,"Balanced",IF(AA86&gt;0,"Over budget","Under budget")))</f>
        <v>Balanced</v>
      </c>
    </row>
    <row r="87" customFormat="false" ht="90.25" hidden="false" customHeight="false" outlineLevel="0" collapsed="false">
      <c r="A87" s="10" t="s">
        <v>462</v>
      </c>
      <c r="B87" s="10" t="s">
        <v>463</v>
      </c>
      <c r="C87" s="10" t="s">
        <v>366</v>
      </c>
      <c r="D87" s="10" t="n">
        <v>1</v>
      </c>
      <c r="E87" s="10" t="s">
        <v>345</v>
      </c>
      <c r="F87" s="10" t="s">
        <v>133</v>
      </c>
      <c r="G87" s="11" t="s">
        <v>464</v>
      </c>
      <c r="H87" s="11" t="s">
        <v>465</v>
      </c>
      <c r="I87" s="12"/>
      <c r="J87" s="12"/>
      <c r="K87" s="12"/>
      <c r="L87" s="12"/>
      <c r="M87" s="12"/>
      <c r="N87" s="12"/>
      <c r="O87" s="12"/>
      <c r="P87" s="12"/>
      <c r="Q87" s="12" t="n">
        <v>1</v>
      </c>
      <c r="R87" s="12" t="s">
        <v>174</v>
      </c>
      <c r="S87" s="12"/>
      <c r="T87" s="12"/>
      <c r="U87" s="12"/>
      <c r="V87" s="12"/>
      <c r="W87" s="12" t="n">
        <v>3.25</v>
      </c>
      <c r="X87" s="11" t="s">
        <v>466</v>
      </c>
      <c r="Y87" s="10" t="n">
        <f aca="false">ROUND((I87*Rules!$B$28+J87*Rules!$B$28*Rules!$B$24+K87*Rules!$B$29+L87*Rules!$B$30+M87*Rules!$B$31+N87*Rules!$B$32+(O87*Rules!$B$33+P87*Rules!$B$34+Q87*Rules!$B$35)*IF(R87="Y",Rules!$B$24,1)+S87*Rules!$B$36-T87*Rules!$B$37+IF(V87="Y",Rules!$B$38,0)+W87)*IF(C87="Power",Rules!$B$23,1),2)</f>
        <v>11</v>
      </c>
      <c r="Z87" s="10" t="n">
        <f aca="false">ROUND((D87*Rules!$B$16+Rules!$B$17+IF(E87="Legendary",Rules!$B$21,IF(E87="Rare",Rules!$B$20,IF(E87="Uncommon",Rules!$B$19,Rules!$B$18))))*IF(U87="Y",Rules!$B$22,1),2)</f>
        <v>11</v>
      </c>
      <c r="AA87" s="10" t="n">
        <f aca="false">Y87-Z87</f>
        <v>0</v>
      </c>
      <c r="AB87" s="10" t="str">
        <f aca="false">IF(E87="Starter",IF(AA87&lt;0,"Starter (under on purpose)","Starter too strong"),IF(ABS(AA87)&lt;=Rules!$B$25,"Balanced",IF(AA87&gt;0,"Over budget","Under budget")))</f>
        <v>Balanced</v>
      </c>
    </row>
    <row r="88" customFormat="false" ht="102.95" hidden="false" customHeight="false" outlineLevel="0" collapsed="false">
      <c r="A88" s="10" t="s">
        <v>467</v>
      </c>
      <c r="B88" s="10" t="s">
        <v>468</v>
      </c>
      <c r="C88" s="10" t="s">
        <v>91</v>
      </c>
      <c r="D88" s="10" t="n">
        <v>1</v>
      </c>
      <c r="E88" s="10" t="s">
        <v>345</v>
      </c>
      <c r="F88" s="10" t="s">
        <v>133</v>
      </c>
      <c r="G88" s="11" t="s">
        <v>469</v>
      </c>
      <c r="H88" s="11" t="s">
        <v>470</v>
      </c>
      <c r="I88" s="12" t="n">
        <v>7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 t="n">
        <v>4</v>
      </c>
      <c r="X88" s="11" t="s">
        <v>471</v>
      </c>
      <c r="Y88" s="10" t="n">
        <f aca="false">ROUND((I88*Rules!$B$28+J88*Rules!$B$28*Rules!$B$24+K88*Rules!$B$29+L88*Rules!$B$30+M88*Rules!$B$31+N88*Rules!$B$32+(O88*Rules!$B$33+P88*Rules!$B$34+Q88*Rules!$B$35)*IF(R88="Y",Rules!$B$24,1)+S88*Rules!$B$36-T88*Rules!$B$37+IF(V88="Y",Rules!$B$38,0)+W88)*IF(C88="Power",Rules!$B$23,1),2)</f>
        <v>11</v>
      </c>
      <c r="Z88" s="10" t="n">
        <f aca="false">ROUND((D88*Rules!$B$16+Rules!$B$17+IF(E88="Legendary",Rules!$B$21,IF(E88="Rare",Rules!$B$20,IF(E88="Uncommon",Rules!$B$19,Rules!$B$18))))*IF(U88="Y",Rules!$B$22,1),2)</f>
        <v>11</v>
      </c>
      <c r="AA88" s="10" t="n">
        <f aca="false">Y88-Z88</f>
        <v>0</v>
      </c>
      <c r="AB88" s="10" t="str">
        <f aca="false">IF(E88="Starter",IF(AA88&lt;0,"Starter (under on purpose)","Starter too strong"),IF(ABS(AA88)&lt;=Rules!$B$25,"Balanced",IF(AA88&gt;0,"Over budget","Under budget")))</f>
        <v>Balanced</v>
      </c>
    </row>
    <row r="89" customFormat="false" ht="15" hidden="false" customHeight="false" outlineLevel="0" collapsed="false">
      <c r="A89" s="10" t="s">
        <v>472</v>
      </c>
      <c r="B89" s="10" t="s">
        <v>473</v>
      </c>
      <c r="C89" s="10" t="s">
        <v>91</v>
      </c>
      <c r="D89" s="10" t="n">
        <v>2</v>
      </c>
      <c r="E89" s="10" t="s">
        <v>345</v>
      </c>
      <c r="F89" s="10" t="s">
        <v>133</v>
      </c>
      <c r="G89" s="11" t="s">
        <v>474</v>
      </c>
      <c r="H89" s="11" t="s">
        <v>475</v>
      </c>
      <c r="I89" s="12" t="n">
        <v>6</v>
      </c>
      <c r="J89" s="12"/>
      <c r="K89" s="12"/>
      <c r="L89" s="12"/>
      <c r="M89" s="12"/>
      <c r="N89" s="12"/>
      <c r="O89" s="12"/>
      <c r="P89" s="12"/>
      <c r="Q89" s="12" t="n">
        <v>7</v>
      </c>
      <c r="R89" s="12"/>
      <c r="S89" s="12"/>
      <c r="T89" s="12"/>
      <c r="U89" s="12"/>
      <c r="V89" s="12"/>
      <c r="W89" s="12"/>
      <c r="X89" s="11"/>
      <c r="Y89" s="10" t="n">
        <f aca="false">ROUND((I89*Rules!$B$28+J89*Rules!$B$28*Rules!$B$24+K89*Rules!$B$29+L89*Rules!$B$30+M89*Rules!$B$31+N89*Rules!$B$32+(O89*Rules!$B$33+P89*Rules!$B$34+Q89*Rules!$B$35)*IF(R89="Y",Rules!$B$24,1)+S89*Rules!$B$36-T89*Rules!$B$37+IF(V89="Y",Rules!$B$38,0)+W89)*IF(C89="Power",Rules!$B$23,1),2)</f>
        <v>16.5</v>
      </c>
      <c r="Z89" s="10" t="n">
        <f aca="false">ROUND((D89*Rules!$B$16+Rules!$B$17+IF(E89="Legendary",Rules!$B$21,IF(E89="Rare",Rules!$B$20,IF(E89="Uncommon",Rules!$B$19,Rules!$B$18))))*IF(U89="Y",Rules!$B$22,1),2)</f>
        <v>17</v>
      </c>
      <c r="AA89" s="10" t="n">
        <f aca="false">Y89-Z89</f>
        <v>-0.5</v>
      </c>
      <c r="AB89" s="10" t="str">
        <f aca="false">IF(E89="Starter",IF(AA89&lt;0,"Starter (under on purpose)","Starter too strong"),IF(ABS(AA89)&lt;=Rules!$B$25,"Balanced",IF(AA89&gt;0,"Over budget","Under budget")))</f>
        <v>Balanced</v>
      </c>
    </row>
    <row r="90" customFormat="false" ht="26.85" hidden="false" customHeight="false" outlineLevel="0" collapsed="false">
      <c r="A90" s="10" t="s">
        <v>476</v>
      </c>
      <c r="B90" s="10" t="s">
        <v>477</v>
      </c>
      <c r="C90" s="10" t="s">
        <v>99</v>
      </c>
      <c r="D90" s="10" t="n">
        <v>1</v>
      </c>
      <c r="E90" s="10" t="s">
        <v>345</v>
      </c>
      <c r="F90" s="10" t="s">
        <v>133</v>
      </c>
      <c r="G90" s="11" t="s">
        <v>478</v>
      </c>
      <c r="H90" s="11" t="s">
        <v>479</v>
      </c>
      <c r="I90" s="12"/>
      <c r="J90" s="12"/>
      <c r="K90" s="12"/>
      <c r="L90" s="12"/>
      <c r="M90" s="12" t="n">
        <v>1</v>
      </c>
      <c r="N90" s="12"/>
      <c r="O90" s="12"/>
      <c r="P90" s="12"/>
      <c r="Q90" s="12" t="n">
        <v>3</v>
      </c>
      <c r="R90" s="12" t="s">
        <v>174</v>
      </c>
      <c r="S90" s="12"/>
      <c r="T90" s="12"/>
      <c r="U90" s="12"/>
      <c r="V90" s="12"/>
      <c r="W90" s="12"/>
      <c r="X90" s="11"/>
      <c r="Y90" s="10" t="n">
        <f aca="false">ROUND((I90*Rules!$B$28+J90*Rules!$B$28*Rules!$B$24+K90*Rules!$B$29+L90*Rules!$B$30+M90*Rules!$B$31+N90*Rules!$B$32+(O90*Rules!$B$33+P90*Rules!$B$34+Q90*Rules!$B$35)*IF(R90="Y",Rules!$B$24,1)+S90*Rules!$B$36-T90*Rules!$B$37+IF(V90="Y",Rules!$B$38,0)+W90)*IF(C90="Power",Rules!$B$23,1),2)</f>
        <v>10.75</v>
      </c>
      <c r="Z90" s="10" t="n">
        <f aca="false">ROUND((D90*Rules!$B$16+Rules!$B$17+IF(E90="Legendary",Rules!$B$21,IF(E90="Rare",Rules!$B$20,IF(E90="Uncommon",Rules!$B$19,Rules!$B$18))))*IF(U90="Y",Rules!$B$22,1),2)</f>
        <v>11</v>
      </c>
      <c r="AA90" s="10" t="n">
        <f aca="false">Y90-Z90</f>
        <v>-0.25</v>
      </c>
      <c r="AB90" s="10" t="str">
        <f aca="false">IF(E90="Starter",IF(AA90&lt;0,"Starter (under on purpose)","Starter too strong"),IF(ABS(AA90)&lt;=Rules!$B$25,"Balanced",IF(AA90&gt;0,"Over budget","Under budget")))</f>
        <v>Balanced</v>
      </c>
    </row>
    <row r="91" customFormat="false" ht="15" hidden="false" customHeight="false" outlineLevel="0" collapsed="false">
      <c r="A91" s="10" t="s">
        <v>480</v>
      </c>
      <c r="B91" s="10" t="s">
        <v>481</v>
      </c>
      <c r="C91" s="10" t="s">
        <v>99</v>
      </c>
      <c r="D91" s="10" t="n">
        <v>0</v>
      </c>
      <c r="E91" s="10" t="s">
        <v>345</v>
      </c>
      <c r="F91" s="10" t="s">
        <v>133</v>
      </c>
      <c r="G91" s="11" t="s">
        <v>482</v>
      </c>
      <c r="H91" s="11" t="s">
        <v>483</v>
      </c>
      <c r="I91" s="12"/>
      <c r="J91" s="12"/>
      <c r="K91" s="12"/>
      <c r="L91" s="12"/>
      <c r="M91" s="12"/>
      <c r="N91" s="12"/>
      <c r="O91" s="12"/>
      <c r="P91" s="12"/>
      <c r="Q91" s="12" t="n">
        <v>3</v>
      </c>
      <c r="R91" s="12"/>
      <c r="S91" s="12"/>
      <c r="T91" s="12"/>
      <c r="U91" s="12"/>
      <c r="V91" s="12" t="s">
        <v>174</v>
      </c>
      <c r="W91" s="12"/>
      <c r="X91" s="11"/>
      <c r="Y91" s="10" t="n">
        <f aca="false">ROUND((I91*Rules!$B$28+J91*Rules!$B$28*Rules!$B$24+K91*Rules!$B$29+L91*Rules!$B$30+M91*Rules!$B$31+N91*Rules!$B$32+(O91*Rules!$B$33+P91*Rules!$B$34+Q91*Rules!$B$35)*IF(R91="Y",Rules!$B$24,1)+S91*Rules!$B$36-T91*Rules!$B$37+IF(V91="Y",Rules!$B$38,0)+W91)*IF(C91="Power",Rules!$B$23,1),2)</f>
        <v>6.5</v>
      </c>
      <c r="Z91" s="10" t="n">
        <f aca="false">ROUND((D91*Rules!$B$16+Rules!$B$17+IF(E91="Legendary",Rules!$B$21,IF(E91="Rare",Rules!$B$20,IF(E91="Uncommon",Rules!$B$19,Rules!$B$18))))*IF(U91="Y",Rules!$B$22,1),2)</f>
        <v>5</v>
      </c>
      <c r="AA91" s="10" t="n">
        <f aca="false">Y91-Z91</f>
        <v>1.5</v>
      </c>
      <c r="AB91" s="10" t="str">
        <f aca="false">IF(E91="Starter",IF(AA91&lt;0,"Starter (under on purpose)","Starter too strong"),IF(ABS(AA91)&lt;=Rules!$B$25,"Balanced",IF(AA91&gt;0,"Over budget","Under budget")))</f>
        <v>Balanced</v>
      </c>
    </row>
    <row r="92" customFormat="false" ht="15" hidden="false" customHeight="false" outlineLevel="0" collapsed="false">
      <c r="A92" s="10" t="s">
        <v>484</v>
      </c>
      <c r="B92" s="10" t="s">
        <v>485</v>
      </c>
      <c r="C92" s="10" t="s">
        <v>99</v>
      </c>
      <c r="D92" s="10" t="n">
        <v>1</v>
      </c>
      <c r="E92" s="10" t="s">
        <v>345</v>
      </c>
      <c r="F92" s="10" t="s">
        <v>133</v>
      </c>
      <c r="G92" s="11" t="s">
        <v>486</v>
      </c>
      <c r="H92" s="11" t="s">
        <v>487</v>
      </c>
      <c r="I92" s="12"/>
      <c r="J92" s="12"/>
      <c r="K92" s="12" t="n">
        <v>5</v>
      </c>
      <c r="L92" s="12"/>
      <c r="M92" s="12"/>
      <c r="N92" s="12"/>
      <c r="O92" s="12"/>
      <c r="P92" s="12"/>
      <c r="Q92" s="12" t="n">
        <v>3</v>
      </c>
      <c r="R92" s="12"/>
      <c r="S92" s="12"/>
      <c r="T92" s="12"/>
      <c r="U92" s="12"/>
      <c r="V92" s="12"/>
      <c r="W92" s="12"/>
      <c r="X92" s="11"/>
      <c r="Y92" s="10" t="n">
        <f aca="false">ROUND((I92*Rules!$B$28+J92*Rules!$B$28*Rules!$B$24+K92*Rules!$B$29+L92*Rules!$B$30+M92*Rules!$B$31+N92*Rules!$B$32+(O92*Rules!$B$33+P92*Rules!$B$34+Q92*Rules!$B$35)*IF(R92="Y",Rules!$B$24,1)+S92*Rules!$B$36-T92*Rules!$B$37+IF(V92="Y",Rules!$B$38,0)+W92)*IF(C92="Power",Rules!$B$23,1),2)</f>
        <v>10.5</v>
      </c>
      <c r="Z92" s="10" t="n">
        <f aca="false">ROUND((D92*Rules!$B$16+Rules!$B$17+IF(E92="Legendary",Rules!$B$21,IF(E92="Rare",Rules!$B$20,IF(E92="Uncommon",Rules!$B$19,Rules!$B$18))))*IF(U92="Y",Rules!$B$22,1),2)</f>
        <v>11</v>
      </c>
      <c r="AA92" s="10" t="n">
        <f aca="false">Y92-Z92</f>
        <v>-0.5</v>
      </c>
      <c r="AB92" s="10" t="str">
        <f aca="false">IF(E92="Starter",IF(AA92&lt;0,"Starter (under on purpose)","Starter too strong"),IF(ABS(AA92)&lt;=Rules!$B$25,"Balanced",IF(AA92&gt;0,"Over budget","Under budget")))</f>
        <v>Balanced</v>
      </c>
    </row>
    <row r="93" customFormat="false" ht="153.7" hidden="false" customHeight="false" outlineLevel="0" collapsed="false">
      <c r="A93" s="10" t="s">
        <v>488</v>
      </c>
      <c r="B93" s="10" t="s">
        <v>489</v>
      </c>
      <c r="C93" s="10" t="s">
        <v>91</v>
      </c>
      <c r="D93" s="10" t="n">
        <v>1</v>
      </c>
      <c r="E93" s="10" t="s">
        <v>345</v>
      </c>
      <c r="F93" s="10" t="s">
        <v>133</v>
      </c>
      <c r="G93" s="11" t="s">
        <v>490</v>
      </c>
      <c r="H93" s="11" t="s">
        <v>491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 t="n">
        <v>10</v>
      </c>
      <c r="X93" s="11" t="s">
        <v>492</v>
      </c>
      <c r="Y93" s="10" t="n">
        <f aca="false">ROUND((I93*Rules!$B$28+J93*Rules!$B$28*Rules!$B$24+K93*Rules!$B$29+L93*Rules!$B$30+M93*Rules!$B$31+N93*Rules!$B$32+(O93*Rules!$B$33+P93*Rules!$B$34+Q93*Rules!$B$35)*IF(R93="Y",Rules!$B$24,1)+S93*Rules!$B$36-T93*Rules!$B$37+IF(V93="Y",Rules!$B$38,0)+W93)*IF(C93="Power",Rules!$B$23,1),2)</f>
        <v>10</v>
      </c>
      <c r="Z93" s="10" t="n">
        <f aca="false">ROUND((D93*Rules!$B$16+Rules!$B$17+IF(E93="Legendary",Rules!$B$21,IF(E93="Rare",Rules!$B$20,IF(E93="Uncommon",Rules!$B$19,Rules!$B$18))))*IF(U93="Y",Rules!$B$22,1),2)</f>
        <v>11</v>
      </c>
      <c r="AA93" s="10" t="n">
        <f aca="false">Y93-Z93</f>
        <v>-1</v>
      </c>
      <c r="AB93" s="10" t="str">
        <f aca="false">IF(E93="Starter",IF(AA93&lt;0,"Starter (under on purpose)","Starter too strong"),IF(ABS(AA93)&lt;=Rules!$B$25,"Balanced",IF(AA93&gt;0,"Over budget","Under budget")))</f>
        <v>Balanced</v>
      </c>
    </row>
    <row r="94" customFormat="false" ht="26.85" hidden="false" customHeight="false" outlineLevel="0" collapsed="false">
      <c r="A94" s="10" t="s">
        <v>493</v>
      </c>
      <c r="B94" s="10" t="s">
        <v>494</v>
      </c>
      <c r="C94" s="10" t="s">
        <v>99</v>
      </c>
      <c r="D94" s="10" t="n">
        <v>1</v>
      </c>
      <c r="E94" s="10" t="s">
        <v>345</v>
      </c>
      <c r="F94" s="10" t="s">
        <v>147</v>
      </c>
      <c r="G94" s="11" t="s">
        <v>495</v>
      </c>
      <c r="H94" s="11" t="s">
        <v>496</v>
      </c>
      <c r="I94" s="12"/>
      <c r="J94" s="12"/>
      <c r="K94" s="12"/>
      <c r="L94" s="12"/>
      <c r="M94" s="12" t="n">
        <v>2</v>
      </c>
      <c r="N94" s="12"/>
      <c r="O94" s="12"/>
      <c r="P94" s="12" t="n">
        <v>1</v>
      </c>
      <c r="Q94" s="12"/>
      <c r="R94" s="12" t="s">
        <v>174</v>
      </c>
      <c r="S94" s="12"/>
      <c r="T94" s="12"/>
      <c r="U94" s="12"/>
      <c r="V94" s="12"/>
      <c r="W94" s="12"/>
      <c r="X94" s="11"/>
      <c r="Y94" s="10" t="n">
        <f aca="false">ROUND((I94*Rules!$B$28+J94*Rules!$B$28*Rules!$B$24+K94*Rules!$B$29+L94*Rules!$B$30+M94*Rules!$B$31+N94*Rules!$B$32+(O94*Rules!$B$33+P94*Rules!$B$34+Q94*Rules!$B$35)*IF(R94="Y",Rules!$B$24,1)+S94*Rules!$B$36-T94*Rules!$B$37+IF(V94="Y",Rules!$B$38,0)+W94)*IF(C94="Power",Rules!$B$23,1),2)</f>
        <v>12.5</v>
      </c>
      <c r="Z94" s="10" t="n">
        <f aca="false">ROUND((D94*Rules!$B$16+Rules!$B$17+IF(E94="Legendary",Rules!$B$21,IF(E94="Rare",Rules!$B$20,IF(E94="Uncommon",Rules!$B$19,Rules!$B$18))))*IF(U94="Y",Rules!$B$22,1),2)</f>
        <v>11</v>
      </c>
      <c r="AA94" s="10" t="n">
        <f aca="false">Y94-Z94</f>
        <v>1.5</v>
      </c>
      <c r="AB94" s="10" t="str">
        <f aca="false">IF(E94="Starter",IF(AA94&lt;0,"Starter (under on purpose)","Starter too strong"),IF(ABS(AA94)&lt;=Rules!$B$25,"Balanced",IF(AA94&gt;0,"Over budget","Under budget")))</f>
        <v>Balanced</v>
      </c>
    </row>
    <row r="95" customFormat="false" ht="90.25" hidden="false" customHeight="false" outlineLevel="0" collapsed="false">
      <c r="A95" s="10" t="s">
        <v>497</v>
      </c>
      <c r="B95" s="10" t="s">
        <v>498</v>
      </c>
      <c r="C95" s="10" t="s">
        <v>99</v>
      </c>
      <c r="D95" s="10" t="n">
        <v>1</v>
      </c>
      <c r="E95" s="10" t="s">
        <v>345</v>
      </c>
      <c r="F95" s="10" t="s">
        <v>147</v>
      </c>
      <c r="G95" s="11" t="s">
        <v>499</v>
      </c>
      <c r="H95" s="11" t="s">
        <v>500</v>
      </c>
      <c r="I95" s="12"/>
      <c r="J95" s="12"/>
      <c r="K95" s="12" t="n">
        <v>4</v>
      </c>
      <c r="L95" s="12"/>
      <c r="M95" s="12"/>
      <c r="N95" s="12" t="n">
        <v>1</v>
      </c>
      <c r="O95" s="12"/>
      <c r="P95" s="12"/>
      <c r="Q95" s="12"/>
      <c r="R95" s="12"/>
      <c r="S95" s="12"/>
      <c r="T95" s="12"/>
      <c r="U95" s="12"/>
      <c r="V95" s="12"/>
      <c r="W95" s="12"/>
      <c r="X95" s="11" t="s">
        <v>501</v>
      </c>
      <c r="Y95" s="10" t="n">
        <f aca="false">ROUND((I95*Rules!$B$28+J95*Rules!$B$28*Rules!$B$24+K95*Rules!$B$29+L95*Rules!$B$30+M95*Rules!$B$31+N95*Rules!$B$32+(O95*Rules!$B$33+P95*Rules!$B$34+Q95*Rules!$B$35)*IF(R95="Y",Rules!$B$24,1)+S95*Rules!$B$36-T95*Rules!$B$37+IF(V95="Y",Rules!$B$38,0)+W95)*IF(C95="Power",Rules!$B$23,1),2)</f>
        <v>10.8</v>
      </c>
      <c r="Z95" s="10" t="n">
        <f aca="false">ROUND((D95*Rules!$B$16+Rules!$B$17+IF(E95="Legendary",Rules!$B$21,IF(E95="Rare",Rules!$B$20,IF(E95="Uncommon",Rules!$B$19,Rules!$B$18))))*IF(U95="Y",Rules!$B$22,1),2)</f>
        <v>11</v>
      </c>
      <c r="AA95" s="10" t="n">
        <f aca="false">Y95-Z95</f>
        <v>-0.199999999999999</v>
      </c>
      <c r="AB95" s="10" t="str">
        <f aca="false">IF(E95="Starter",IF(AA95&lt;0,"Starter (under on purpose)","Starter too strong"),IF(ABS(AA95)&lt;=Rules!$B$25,"Balanced",IF(AA95&gt;0,"Over budget","Under budget")))</f>
        <v>Balanced</v>
      </c>
    </row>
    <row r="96" customFormat="false" ht="26.85" hidden="false" customHeight="false" outlineLevel="0" collapsed="false">
      <c r="A96" s="10" t="s">
        <v>502</v>
      </c>
      <c r="B96" s="10" t="s">
        <v>503</v>
      </c>
      <c r="C96" s="10" t="s">
        <v>91</v>
      </c>
      <c r="D96" s="10" t="n">
        <v>2</v>
      </c>
      <c r="E96" s="10" t="s">
        <v>345</v>
      </c>
      <c r="F96" s="10" t="s">
        <v>147</v>
      </c>
      <c r="G96" s="11" t="s">
        <v>504</v>
      </c>
      <c r="H96" s="11" t="s">
        <v>505</v>
      </c>
      <c r="I96" s="12" t="n">
        <v>8</v>
      </c>
      <c r="J96" s="12"/>
      <c r="K96" s="12"/>
      <c r="L96" s="12"/>
      <c r="M96" s="12"/>
      <c r="N96" s="12"/>
      <c r="O96" s="12" t="n">
        <v>1</v>
      </c>
      <c r="P96" s="12" t="n">
        <v>2</v>
      </c>
      <c r="Q96" s="12"/>
      <c r="R96" s="12"/>
      <c r="S96" s="12"/>
      <c r="T96" s="12"/>
      <c r="U96" s="12"/>
      <c r="V96" s="12"/>
      <c r="W96" s="12"/>
      <c r="X96" s="11"/>
      <c r="Y96" s="10" t="n">
        <f aca="false">ROUND((I96*Rules!$B$28+J96*Rules!$B$28*Rules!$B$24+K96*Rules!$B$29+L96*Rules!$B$30+M96*Rules!$B$31+N96*Rules!$B$32+(O96*Rules!$B$33+P96*Rules!$B$34+Q96*Rules!$B$35)*IF(R96="Y",Rules!$B$24,1)+S96*Rules!$B$36-T96*Rules!$B$37+IF(V96="Y",Rules!$B$38,0)+W96)*IF(C96="Power",Rules!$B$23,1),2)</f>
        <v>17</v>
      </c>
      <c r="Z96" s="10" t="n">
        <f aca="false">ROUND((D96*Rules!$B$16+Rules!$B$17+IF(E96="Legendary",Rules!$B$21,IF(E96="Rare",Rules!$B$20,IF(E96="Uncommon",Rules!$B$19,Rules!$B$18))))*IF(U96="Y",Rules!$B$22,1),2)</f>
        <v>17</v>
      </c>
      <c r="AA96" s="10" t="n">
        <f aca="false">Y96-Z96</f>
        <v>0</v>
      </c>
      <c r="AB96" s="10" t="str">
        <f aca="false">IF(E96="Starter",IF(AA96&lt;0,"Starter (under on purpose)","Starter too strong"),IF(ABS(AA96)&lt;=Rules!$B$25,"Balanced",IF(AA96&gt;0,"Over budget","Under budget")))</f>
        <v>Balanced</v>
      </c>
    </row>
    <row r="97" customFormat="false" ht="26.85" hidden="false" customHeight="false" outlineLevel="0" collapsed="false">
      <c r="A97" s="10" t="s">
        <v>506</v>
      </c>
      <c r="B97" s="10" t="s">
        <v>507</v>
      </c>
      <c r="C97" s="10" t="s">
        <v>99</v>
      </c>
      <c r="D97" s="10" t="n">
        <v>2</v>
      </c>
      <c r="E97" s="10" t="s">
        <v>345</v>
      </c>
      <c r="F97" s="10" t="s">
        <v>147</v>
      </c>
      <c r="G97" s="11" t="s">
        <v>508</v>
      </c>
      <c r="H97" s="11" t="s">
        <v>509</v>
      </c>
      <c r="I97" s="12"/>
      <c r="J97" s="12"/>
      <c r="K97" s="12"/>
      <c r="L97" s="12"/>
      <c r="M97" s="12"/>
      <c r="N97" s="12"/>
      <c r="O97" s="12" t="n">
        <v>2</v>
      </c>
      <c r="P97" s="12" t="n">
        <v>2</v>
      </c>
      <c r="Q97" s="12"/>
      <c r="R97" s="12" t="s">
        <v>174</v>
      </c>
      <c r="S97" s="12"/>
      <c r="T97" s="12"/>
      <c r="U97" s="12"/>
      <c r="V97" s="12"/>
      <c r="W97" s="12"/>
      <c r="X97" s="11"/>
      <c r="Y97" s="10" t="n">
        <f aca="false">ROUND((I97*Rules!$B$28+J97*Rules!$B$28*Rules!$B$24+K97*Rules!$B$29+L97*Rules!$B$30+M97*Rules!$B$31+N97*Rules!$B$32+(O97*Rules!$B$33+P97*Rules!$B$34+Q97*Rules!$B$35)*IF(R97="Y",Rules!$B$24,1)+S97*Rules!$B$36-T97*Rules!$B$37+IF(V97="Y",Rules!$B$38,0)+W97)*IF(C97="Power",Rules!$B$23,1),2)</f>
        <v>18</v>
      </c>
      <c r="Z97" s="10" t="n">
        <f aca="false">ROUND((D97*Rules!$B$16+Rules!$B$17+IF(E97="Legendary",Rules!$B$21,IF(E97="Rare",Rules!$B$20,IF(E97="Uncommon",Rules!$B$19,Rules!$B$18))))*IF(U97="Y",Rules!$B$22,1),2)</f>
        <v>17</v>
      </c>
      <c r="AA97" s="10" t="n">
        <f aca="false">Y97-Z97</f>
        <v>1</v>
      </c>
      <c r="AB97" s="10" t="str">
        <f aca="false">IF(E97="Starter",IF(AA97&lt;0,"Starter (under on purpose)","Starter too strong"),IF(ABS(AA97)&lt;=Rules!$B$25,"Balanced",IF(AA97&gt;0,"Over budget","Under budget")))</f>
        <v>Balanced</v>
      </c>
    </row>
    <row r="98" customFormat="false" ht="52.2" hidden="false" customHeight="false" outlineLevel="0" collapsed="false">
      <c r="A98" s="10" t="s">
        <v>510</v>
      </c>
      <c r="B98" s="10" t="s">
        <v>511</v>
      </c>
      <c r="C98" s="10" t="s">
        <v>99</v>
      </c>
      <c r="D98" s="10" t="n">
        <v>1</v>
      </c>
      <c r="E98" s="10" t="s">
        <v>345</v>
      </c>
      <c r="F98" s="10" t="s">
        <v>147</v>
      </c>
      <c r="G98" s="11" t="s">
        <v>512</v>
      </c>
      <c r="H98" s="11" t="s">
        <v>513</v>
      </c>
      <c r="I98" s="12"/>
      <c r="J98" s="12"/>
      <c r="K98" s="12"/>
      <c r="L98" s="12"/>
      <c r="M98" s="12" t="n">
        <v>1</v>
      </c>
      <c r="N98" s="12" t="n">
        <v>1</v>
      </c>
      <c r="O98" s="12"/>
      <c r="P98" s="12"/>
      <c r="Q98" s="12"/>
      <c r="R98" s="12"/>
      <c r="S98" s="12"/>
      <c r="T98" s="12"/>
      <c r="U98" s="12"/>
      <c r="V98" s="12" t="s">
        <v>174</v>
      </c>
      <c r="W98" s="12"/>
      <c r="X98" s="11" t="s">
        <v>514</v>
      </c>
      <c r="Y98" s="10" t="n">
        <f aca="false">ROUND((I98*Rules!$B$28+J98*Rules!$B$28*Rules!$B$24+K98*Rules!$B$29+L98*Rules!$B$30+M98*Rules!$B$31+N98*Rules!$B$32+(O98*Rules!$B$33+P98*Rules!$B$34+Q98*Rules!$B$35)*IF(R98="Y",Rules!$B$24,1)+S98*Rules!$B$36-T98*Rules!$B$37+IF(V98="Y",Rules!$B$38,0)+W98)*IF(C98="Power",Rules!$B$23,1),2)</f>
        <v>12</v>
      </c>
      <c r="Z98" s="10" t="n">
        <f aca="false">ROUND((D98*Rules!$B$16+Rules!$B$17+IF(E98="Legendary",Rules!$B$21,IF(E98="Rare",Rules!$B$20,IF(E98="Uncommon",Rules!$B$19,Rules!$B$18))))*IF(U98="Y",Rules!$B$22,1),2)</f>
        <v>11</v>
      </c>
      <c r="AA98" s="10" t="n">
        <f aca="false">Y98-Z98</f>
        <v>1</v>
      </c>
      <c r="AB98" s="10" t="str">
        <f aca="false">IF(E98="Starter",IF(AA98&lt;0,"Starter (under on purpose)","Starter too strong"),IF(ABS(AA98)&lt;=Rules!$B$25,"Balanced",IF(AA98&gt;0,"Over budget","Under budget")))</f>
        <v>Balanced</v>
      </c>
    </row>
    <row r="99" customFormat="false" ht="15" hidden="false" customHeight="false" outlineLevel="0" collapsed="false">
      <c r="A99" s="10" t="s">
        <v>515</v>
      </c>
      <c r="B99" s="10" t="s">
        <v>516</v>
      </c>
      <c r="C99" s="10" t="s">
        <v>99</v>
      </c>
      <c r="D99" s="10" t="n">
        <v>1</v>
      </c>
      <c r="E99" s="10" t="s">
        <v>345</v>
      </c>
      <c r="F99" s="10" t="s">
        <v>147</v>
      </c>
      <c r="G99" s="11" t="s">
        <v>517</v>
      </c>
      <c r="H99" s="11" t="s">
        <v>518</v>
      </c>
      <c r="I99" s="12"/>
      <c r="J99" s="12"/>
      <c r="K99" s="12"/>
      <c r="L99" s="12"/>
      <c r="M99" s="12" t="n">
        <v>2</v>
      </c>
      <c r="N99" s="12"/>
      <c r="O99" s="12"/>
      <c r="P99" s="12"/>
      <c r="Q99" s="12"/>
      <c r="R99" s="12"/>
      <c r="S99" s="12"/>
      <c r="T99" s="12"/>
      <c r="U99" s="12"/>
      <c r="V99" s="12" t="s">
        <v>174</v>
      </c>
      <c r="W99" s="12"/>
      <c r="X99" s="11"/>
      <c r="Y99" s="10" t="n">
        <f aca="false">ROUND((I99*Rules!$B$28+J99*Rules!$B$28*Rules!$B$24+K99*Rules!$B$29+L99*Rules!$B$30+M99*Rules!$B$31+N99*Rules!$B$32+(O99*Rules!$B$33+P99*Rules!$B$34+Q99*Rules!$B$35)*IF(R99="Y",Rules!$B$24,1)+S99*Rules!$B$36-T99*Rules!$B$37+IF(V99="Y",Rules!$B$38,0)+W99)*IF(C99="Power",Rules!$B$23,1),2)</f>
        <v>10</v>
      </c>
      <c r="Z99" s="10" t="n">
        <f aca="false">ROUND((D99*Rules!$B$16+Rules!$B$17+IF(E99="Legendary",Rules!$B$21,IF(E99="Rare",Rules!$B$20,IF(E99="Uncommon",Rules!$B$19,Rules!$B$18))))*IF(U99="Y",Rules!$B$22,1),2)</f>
        <v>11</v>
      </c>
      <c r="AA99" s="10" t="n">
        <f aca="false">Y99-Z99</f>
        <v>-1</v>
      </c>
      <c r="AB99" s="10" t="str">
        <f aca="false">IF(E99="Starter",IF(AA99&lt;0,"Starter (under on purpose)","Starter too strong"),IF(ABS(AA99)&lt;=Rules!$B$25,"Balanced",IF(AA99&gt;0,"Over budget","Under budget")))</f>
        <v>Balanced</v>
      </c>
    </row>
    <row r="100" customFormat="false" ht="77.6" hidden="false" customHeight="false" outlineLevel="0" collapsed="false">
      <c r="A100" s="10" t="s">
        <v>519</v>
      </c>
      <c r="B100" s="10" t="s">
        <v>520</v>
      </c>
      <c r="C100" s="10" t="s">
        <v>366</v>
      </c>
      <c r="D100" s="10" t="n">
        <v>2</v>
      </c>
      <c r="E100" s="10" t="s">
        <v>521</v>
      </c>
      <c r="F100" s="10" t="s">
        <v>138</v>
      </c>
      <c r="G100" s="11" t="s">
        <v>522</v>
      </c>
      <c r="H100" s="11" t="s">
        <v>523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 t="n">
        <v>9.5</v>
      </c>
      <c r="X100" s="11" t="s">
        <v>524</v>
      </c>
      <c r="Y100" s="10" t="n">
        <f aca="false">ROUND((I100*Rules!$B$28+J100*Rules!$B$28*Rules!$B$24+K100*Rules!$B$29+L100*Rules!$B$30+M100*Rules!$B$31+N100*Rules!$B$32+(O100*Rules!$B$33+P100*Rules!$B$34+Q100*Rules!$B$35)*IF(R100="Y",Rules!$B$24,1)+S100*Rules!$B$36-T100*Rules!$B$37+IF(V100="Y",Rules!$B$38,0)+W100)*IF(C100="Power",Rules!$B$23,1),2)</f>
        <v>19</v>
      </c>
      <c r="Z100" s="10" t="n">
        <f aca="false">ROUND((D100*Rules!$B$16+Rules!$B$17+IF(E100="Legendary",Rules!$B$21,IF(E100="Rare",Rules!$B$20,IF(E100="Uncommon",Rules!$B$19,Rules!$B$18))))*IF(U100="Y",Rules!$B$22,1),2)</f>
        <v>19</v>
      </c>
      <c r="AA100" s="10" t="n">
        <f aca="false">Y100-Z100</f>
        <v>0</v>
      </c>
      <c r="AB100" s="10" t="str">
        <f aca="false">IF(E100="Starter",IF(AA100&lt;0,"Starter (under on purpose)","Starter too strong"),IF(ABS(AA100)&lt;=Rules!$B$25,"Balanced",IF(AA100&gt;0,"Over budget","Under budget")))</f>
        <v>Balanced</v>
      </c>
    </row>
    <row r="101" customFormat="false" ht="15" hidden="false" customHeight="false" outlineLevel="0" collapsed="false">
      <c r="A101" s="10" t="s">
        <v>525</v>
      </c>
      <c r="B101" s="10" t="s">
        <v>526</v>
      </c>
      <c r="C101" s="10" t="s">
        <v>99</v>
      </c>
      <c r="D101" s="10" t="n">
        <v>1</v>
      </c>
      <c r="E101" s="10" t="s">
        <v>521</v>
      </c>
      <c r="F101" s="10" t="s">
        <v>147</v>
      </c>
      <c r="G101" s="11" t="s">
        <v>527</v>
      </c>
      <c r="H101" s="11" t="s">
        <v>528</v>
      </c>
      <c r="I101" s="12"/>
      <c r="J101" s="12"/>
      <c r="K101" s="12"/>
      <c r="L101" s="12"/>
      <c r="M101" s="12" t="n">
        <v>1</v>
      </c>
      <c r="N101" s="12" t="n">
        <v>2</v>
      </c>
      <c r="O101" s="12"/>
      <c r="P101" s="12"/>
      <c r="Q101" s="12"/>
      <c r="R101" s="12"/>
      <c r="S101" s="12"/>
      <c r="T101" s="12"/>
      <c r="U101" s="12" t="s">
        <v>174</v>
      </c>
      <c r="V101" s="12"/>
      <c r="W101" s="12"/>
      <c r="X101" s="11"/>
      <c r="Y101" s="10" t="n">
        <f aca="false">ROUND((I101*Rules!$B$28+J101*Rules!$B$28*Rules!$B$24+K101*Rules!$B$29+L101*Rules!$B$30+M101*Rules!$B$31+N101*Rules!$B$32+(O101*Rules!$B$33+P101*Rules!$B$34+Q101*Rules!$B$35)*IF(R101="Y",Rules!$B$24,1)+S101*Rules!$B$36-T101*Rules!$B$37+IF(V101="Y",Rules!$B$38,0)+W101)*IF(C101="Power",Rules!$B$23,1),2)</f>
        <v>16</v>
      </c>
      <c r="Z101" s="10" t="n">
        <f aca="false">ROUND((D101*Rules!$B$16+Rules!$B$17+IF(E101="Legendary",Rules!$B$21,IF(E101="Rare",Rules!$B$20,IF(E101="Uncommon",Rules!$B$19,Rules!$B$18))))*IF(U101="Y",Rules!$B$22,1),2)</f>
        <v>16.9</v>
      </c>
      <c r="AA101" s="10" t="n">
        <f aca="false">Y101-Z101</f>
        <v>-0.899999999999999</v>
      </c>
      <c r="AB101" s="10" t="str">
        <f aca="false">IF(E101="Starter",IF(AA101&lt;0,"Starter (under on purpose)","Starter too strong"),IF(ABS(AA101)&lt;=Rules!$B$25,"Balanced",IF(AA101&gt;0,"Over budget","Under budget")))</f>
        <v>Balanced</v>
      </c>
    </row>
    <row r="102" customFormat="false" ht="77.6" hidden="false" customHeight="false" outlineLevel="0" collapsed="false">
      <c r="A102" s="10" t="s">
        <v>529</v>
      </c>
      <c r="B102" s="10" t="s">
        <v>530</v>
      </c>
      <c r="C102" s="10" t="s">
        <v>91</v>
      </c>
      <c r="D102" s="10" t="n">
        <v>3</v>
      </c>
      <c r="E102" s="10" t="s">
        <v>521</v>
      </c>
      <c r="F102" s="10" t="s">
        <v>114</v>
      </c>
      <c r="G102" s="11" t="s">
        <v>531</v>
      </c>
      <c r="H102" s="11" t="s">
        <v>532</v>
      </c>
      <c r="I102" s="12" t="n">
        <v>18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 t="n">
        <v>7</v>
      </c>
      <c r="X102" s="11" t="s">
        <v>533</v>
      </c>
      <c r="Y102" s="10" t="n">
        <f aca="false">ROUND((I102*Rules!$B$28+J102*Rules!$B$28*Rules!$B$24+K102*Rules!$B$29+L102*Rules!$B$30+M102*Rules!$B$31+N102*Rules!$B$32+(O102*Rules!$B$33+P102*Rules!$B$34+Q102*Rules!$B$35)*IF(R102="Y",Rules!$B$24,1)+S102*Rules!$B$36-T102*Rules!$B$37+IF(V102="Y",Rules!$B$38,0)+W102)*IF(C102="Power",Rules!$B$23,1),2)</f>
        <v>25</v>
      </c>
      <c r="Z102" s="10" t="n">
        <f aca="false">ROUND((D102*Rules!$B$16+Rules!$B$17+IF(E102="Legendary",Rules!$B$21,IF(E102="Rare",Rules!$B$20,IF(E102="Uncommon",Rules!$B$19,Rules!$B$18))))*IF(U102="Y",Rules!$B$22,1),2)</f>
        <v>25</v>
      </c>
      <c r="AA102" s="10" t="n">
        <f aca="false">Y102-Z102</f>
        <v>0</v>
      </c>
      <c r="AB102" s="10" t="str">
        <f aca="false">IF(E102="Starter",IF(AA102&lt;0,"Starter (under on purpose)","Starter too strong"),IF(ABS(AA102)&lt;=Rules!$B$25,"Balanced",IF(AA102&gt;0,"Over budget","Under budget")))</f>
        <v>Balanced</v>
      </c>
    </row>
    <row r="103" customFormat="false" ht="90.25" hidden="false" customHeight="false" outlineLevel="0" collapsed="false">
      <c r="A103" s="10" t="s">
        <v>534</v>
      </c>
      <c r="B103" s="10" t="s">
        <v>535</v>
      </c>
      <c r="C103" s="10" t="s">
        <v>366</v>
      </c>
      <c r="D103" s="10" t="n">
        <v>2</v>
      </c>
      <c r="E103" s="10" t="s">
        <v>521</v>
      </c>
      <c r="F103" s="10" t="s">
        <v>133</v>
      </c>
      <c r="G103" s="11" t="s">
        <v>536</v>
      </c>
      <c r="H103" s="11" t="s">
        <v>537</v>
      </c>
      <c r="I103" s="12"/>
      <c r="J103" s="12"/>
      <c r="K103" s="12"/>
      <c r="L103" s="12"/>
      <c r="M103" s="12"/>
      <c r="N103" s="12"/>
      <c r="O103" s="12"/>
      <c r="P103" s="12"/>
      <c r="Q103" s="12" t="n">
        <v>3</v>
      </c>
      <c r="R103" s="12" t="s">
        <v>174</v>
      </c>
      <c r="S103" s="12"/>
      <c r="T103" s="12"/>
      <c r="U103" s="12"/>
      <c r="V103" s="12"/>
      <c r="W103" s="12" t="n">
        <v>2.5</v>
      </c>
      <c r="X103" s="11" t="s">
        <v>538</v>
      </c>
      <c r="Y103" s="10" t="n">
        <f aca="false">ROUND((I103*Rules!$B$28+J103*Rules!$B$28*Rules!$B$24+K103*Rules!$B$29+L103*Rules!$B$30+M103*Rules!$B$31+N103*Rules!$B$32+(O103*Rules!$B$33+P103*Rules!$B$34+Q103*Rules!$B$35)*IF(R103="Y",Rules!$B$24,1)+S103*Rules!$B$36-T103*Rules!$B$37+IF(V103="Y",Rules!$B$38,0)+W103)*IF(C103="Power",Rules!$B$23,1),2)</f>
        <v>18.5</v>
      </c>
      <c r="Z103" s="10" t="n">
        <f aca="false">ROUND((D103*Rules!$B$16+Rules!$B$17+IF(E103="Legendary",Rules!$B$21,IF(E103="Rare",Rules!$B$20,IF(E103="Uncommon",Rules!$B$19,Rules!$B$18))))*IF(U103="Y",Rules!$B$22,1),2)</f>
        <v>19</v>
      </c>
      <c r="AA103" s="10" t="n">
        <f aca="false">Y103-Z103</f>
        <v>-0.5</v>
      </c>
      <c r="AB103" s="10" t="str">
        <f aca="false">IF(E103="Starter",IF(AA103&lt;0,"Starter (under on purpose)","Starter too strong"),IF(ABS(AA103)&lt;=Rules!$B$25,"Balanced",IF(AA103&gt;0,"Over budget","Under budget")))</f>
        <v>Balanced</v>
      </c>
    </row>
    <row r="104" customFormat="false" ht="39.55" hidden="false" customHeight="false" outlineLevel="0" collapsed="false">
      <c r="A104" s="10" t="s">
        <v>539</v>
      </c>
      <c r="B104" s="10" t="s">
        <v>540</v>
      </c>
      <c r="C104" s="10" t="s">
        <v>99</v>
      </c>
      <c r="D104" s="10" t="n">
        <v>1</v>
      </c>
      <c r="E104" s="10" t="s">
        <v>521</v>
      </c>
      <c r="F104" s="10" t="s">
        <v>93</v>
      </c>
      <c r="G104" s="11" t="s">
        <v>541</v>
      </c>
      <c r="H104" s="11" t="s">
        <v>542</v>
      </c>
      <c r="I104" s="12"/>
      <c r="J104" s="12"/>
      <c r="K104" s="12" t="n">
        <v>5</v>
      </c>
      <c r="L104" s="12" t="n">
        <v>7</v>
      </c>
      <c r="M104" s="12"/>
      <c r="N104" s="12"/>
      <c r="O104" s="12"/>
      <c r="P104" s="12"/>
      <c r="Q104" s="12"/>
      <c r="R104" s="12"/>
      <c r="S104" s="12"/>
      <c r="T104" s="12"/>
      <c r="U104" s="12" t="s">
        <v>174</v>
      </c>
      <c r="V104" s="12"/>
      <c r="W104" s="12"/>
      <c r="X104" s="11" t="s">
        <v>543</v>
      </c>
      <c r="Y104" s="10" t="n">
        <f aca="false">ROUND((I104*Rules!$B$28+J104*Rules!$B$28*Rules!$B$24+K104*Rules!$B$29+L104*Rules!$B$30+M104*Rules!$B$31+N104*Rules!$B$32+(O104*Rules!$B$33+P104*Rules!$B$34+Q104*Rules!$B$35)*IF(R104="Y",Rules!$B$24,1)+S104*Rules!$B$36-T104*Rules!$B$37+IF(V104="Y",Rules!$B$38,0)+W104)*IF(C104="Power",Rules!$B$23,1),2)</f>
        <v>16.5</v>
      </c>
      <c r="Z104" s="10" t="n">
        <f aca="false">ROUND((D104*Rules!$B$16+Rules!$B$17+IF(E104="Legendary",Rules!$B$21,IF(E104="Rare",Rules!$B$20,IF(E104="Uncommon",Rules!$B$19,Rules!$B$18))))*IF(U104="Y",Rules!$B$22,1),2)</f>
        <v>16.9</v>
      </c>
      <c r="AA104" s="10" t="n">
        <f aca="false">Y104-Z104</f>
        <v>-0.399999999999999</v>
      </c>
      <c r="AB104" s="10" t="str">
        <f aca="false">IF(E104="Starter",IF(AA104&lt;0,"Starter (under on purpose)","Starter too strong"),IF(ABS(AA104)&lt;=Rules!$B$25,"Balanced",IF(AA104&gt;0,"Over budget","Under budget")))</f>
        <v>Balanced</v>
      </c>
    </row>
    <row r="105" customFormat="false" ht="102.95" hidden="false" customHeight="false" outlineLevel="0" collapsed="false">
      <c r="A105" s="10" t="s">
        <v>544</v>
      </c>
      <c r="B105" s="10" t="s">
        <v>545</v>
      </c>
      <c r="C105" s="10" t="s">
        <v>366</v>
      </c>
      <c r="D105" s="10" t="n">
        <v>1</v>
      </c>
      <c r="E105" s="10" t="s">
        <v>521</v>
      </c>
      <c r="F105" s="10" t="s">
        <v>114</v>
      </c>
      <c r="G105" s="11" t="s">
        <v>546</v>
      </c>
      <c r="H105" s="11" t="s">
        <v>547</v>
      </c>
      <c r="I105" s="12"/>
      <c r="J105" s="12"/>
      <c r="K105" s="12"/>
      <c r="L105" s="12"/>
      <c r="M105" s="12"/>
      <c r="N105" s="12" t="n">
        <v>1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1" t="s">
        <v>548</v>
      </c>
      <c r="Y105" s="10" t="n">
        <f aca="false">ROUND((I105*Rules!$B$28+J105*Rules!$B$28*Rules!$B$24+K105*Rules!$B$29+L105*Rules!$B$30+M105*Rules!$B$31+N105*Rules!$B$32+(O105*Rules!$B$33+P105*Rules!$B$34+Q105*Rules!$B$35)*IF(R105="Y",Rules!$B$24,1)+S105*Rules!$B$36-T105*Rules!$B$37+IF(V105="Y",Rules!$B$38,0)+W105)*IF(C105="Power",Rules!$B$23,1),2)</f>
        <v>12</v>
      </c>
      <c r="Z105" s="10" t="n">
        <f aca="false">ROUND((D105*Rules!$B$16+Rules!$B$17+IF(E105="Legendary",Rules!$B$21,IF(E105="Rare",Rules!$B$20,IF(E105="Uncommon",Rules!$B$19,Rules!$B$18))))*IF(U105="Y",Rules!$B$22,1),2)</f>
        <v>13</v>
      </c>
      <c r="AA105" s="10" t="n">
        <f aca="false">Y105-Z105</f>
        <v>-1</v>
      </c>
      <c r="AB105" s="10" t="str">
        <f aca="false">IF(E105="Starter",IF(AA105&lt;0,"Starter (under on purpose)","Starter too strong"),IF(ABS(AA105)&lt;=Rules!$B$25,"Balanced",IF(AA105&gt;0,"Over budget","Under budget")))</f>
        <v>Balanced</v>
      </c>
    </row>
    <row r="106" customFormat="false" ht="15" hidden="false" customHeight="false" outlineLevel="0" collapsed="false">
      <c r="A106" s="10" t="s">
        <v>549</v>
      </c>
      <c r="B106" s="10" t="s">
        <v>550</v>
      </c>
      <c r="C106" s="10" t="s">
        <v>99</v>
      </c>
      <c r="D106" s="10" t="n">
        <v>1</v>
      </c>
      <c r="E106" s="10" t="s">
        <v>521</v>
      </c>
      <c r="F106" s="10" t="s">
        <v>93</v>
      </c>
      <c r="G106" s="11" t="s">
        <v>551</v>
      </c>
      <c r="H106" s="11" t="s">
        <v>552</v>
      </c>
      <c r="I106" s="12"/>
      <c r="J106" s="12"/>
      <c r="K106" s="12"/>
      <c r="L106" s="12" t="n">
        <v>9</v>
      </c>
      <c r="M106" s="12" t="n">
        <v>1</v>
      </c>
      <c r="N106" s="12"/>
      <c r="O106" s="12"/>
      <c r="P106" s="12"/>
      <c r="Q106" s="12"/>
      <c r="R106" s="12"/>
      <c r="S106" s="12"/>
      <c r="T106" s="12"/>
      <c r="U106" s="12" t="s">
        <v>174</v>
      </c>
      <c r="V106" s="12"/>
      <c r="W106" s="12"/>
      <c r="X106" s="11"/>
      <c r="Y106" s="10" t="n">
        <f aca="false">ROUND((I106*Rules!$B$28+J106*Rules!$B$28*Rules!$B$24+K106*Rules!$B$29+L106*Rules!$B$30+M106*Rules!$B$31+N106*Rules!$B$32+(O106*Rules!$B$33+P106*Rules!$B$34+Q106*Rules!$B$35)*IF(R106="Y",Rules!$B$24,1)+S106*Rules!$B$36-T106*Rules!$B$37+IF(V106="Y",Rules!$B$38,0)+W106)*IF(C106="Power",Rules!$B$23,1),2)</f>
        <v>17.5</v>
      </c>
      <c r="Z106" s="10" t="n">
        <f aca="false">ROUND((D106*Rules!$B$16+Rules!$B$17+IF(E106="Legendary",Rules!$B$21,IF(E106="Rare",Rules!$B$20,IF(E106="Uncommon",Rules!$B$19,Rules!$B$18))))*IF(U106="Y",Rules!$B$22,1),2)</f>
        <v>16.9</v>
      </c>
      <c r="AA106" s="10" t="n">
        <f aca="false">Y106-Z106</f>
        <v>0.600000000000001</v>
      </c>
      <c r="AB106" s="10" t="str">
        <f aca="false">IF(E106="Starter",IF(AA106&lt;0,"Starter (under on purpose)","Starter too strong"),IF(ABS(AA106)&lt;=Rules!$B$25,"Balanced",IF(AA106&gt;0,"Over budget","Under budget")))</f>
        <v>Balanced</v>
      </c>
    </row>
    <row r="107" customFormat="false" ht="64.9" hidden="false" customHeight="false" outlineLevel="0" collapsed="false">
      <c r="A107" s="10" t="s">
        <v>553</v>
      </c>
      <c r="B107" s="10" t="s">
        <v>554</v>
      </c>
      <c r="C107" s="10" t="s">
        <v>366</v>
      </c>
      <c r="D107" s="10" t="n">
        <v>2</v>
      </c>
      <c r="E107" s="10" t="s">
        <v>521</v>
      </c>
      <c r="F107" s="10" t="s">
        <v>93</v>
      </c>
      <c r="G107" s="11" t="s">
        <v>555</v>
      </c>
      <c r="H107" s="11" t="s">
        <v>556</v>
      </c>
      <c r="I107" s="12"/>
      <c r="J107" s="12"/>
      <c r="K107" s="12" t="n">
        <v>3</v>
      </c>
      <c r="L107" s="12"/>
      <c r="M107" s="12" t="n">
        <v>1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 t="n">
        <v>1.9</v>
      </c>
      <c r="X107" s="11" t="s">
        <v>557</v>
      </c>
      <c r="Y107" s="10" t="n">
        <f aca="false">ROUND((I107*Rules!$B$28+J107*Rules!$B$28*Rules!$B$24+K107*Rules!$B$29+L107*Rules!$B$30+M107*Rules!$B$31+N107*Rules!$B$32+(O107*Rules!$B$33+P107*Rules!$B$34+Q107*Rules!$B$35)*IF(R107="Y",Rules!$B$24,1)+S107*Rules!$B$36-T107*Rules!$B$37+IF(V107="Y",Rules!$B$38,0)+W107)*IF(C107="Power",Rules!$B$23,1),2)</f>
        <v>19</v>
      </c>
      <c r="Z107" s="10" t="n">
        <f aca="false">ROUND((D107*Rules!$B$16+Rules!$B$17+IF(E107="Legendary",Rules!$B$21,IF(E107="Rare",Rules!$B$20,IF(E107="Uncommon",Rules!$B$19,Rules!$B$18))))*IF(U107="Y",Rules!$B$22,1),2)</f>
        <v>19</v>
      </c>
      <c r="AA107" s="10" t="n">
        <f aca="false">Y107-Z107</f>
        <v>0</v>
      </c>
      <c r="AB107" s="10" t="str">
        <f aca="false">IF(E107="Starter",IF(AA107&lt;0,"Starter (under on purpose)","Starter too strong"),IF(ABS(AA107)&lt;=Rules!$B$25,"Balanced",IF(AA107&gt;0,"Over budget","Under budget")))</f>
        <v>Balanced</v>
      </c>
    </row>
    <row r="108" customFormat="false" ht="153.7" hidden="false" customHeight="false" outlineLevel="0" collapsed="false">
      <c r="A108" s="10" t="s">
        <v>558</v>
      </c>
      <c r="B108" s="10" t="s">
        <v>559</v>
      </c>
      <c r="C108" s="10" t="s">
        <v>99</v>
      </c>
      <c r="D108" s="10" t="n">
        <v>1</v>
      </c>
      <c r="E108" s="10" t="s">
        <v>521</v>
      </c>
      <c r="F108" s="10" t="s">
        <v>114</v>
      </c>
      <c r="G108" s="11" t="s">
        <v>560</v>
      </c>
      <c r="H108" s="11" t="s">
        <v>561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174</v>
      </c>
      <c r="V108" s="12"/>
      <c r="W108" s="12" t="n">
        <v>16</v>
      </c>
      <c r="X108" s="11" t="s">
        <v>562</v>
      </c>
      <c r="Y108" s="10" t="n">
        <f aca="false">ROUND((I108*Rules!$B$28+J108*Rules!$B$28*Rules!$B$24+K108*Rules!$B$29+L108*Rules!$B$30+M108*Rules!$B$31+N108*Rules!$B$32+(O108*Rules!$B$33+P108*Rules!$B$34+Q108*Rules!$B$35)*IF(R108="Y",Rules!$B$24,1)+S108*Rules!$B$36-T108*Rules!$B$37+IF(V108="Y",Rules!$B$38,0)+W108)*IF(C108="Power",Rules!$B$23,1),2)</f>
        <v>16</v>
      </c>
      <c r="Z108" s="10" t="n">
        <f aca="false">ROUND((D108*Rules!$B$16+Rules!$B$17+IF(E108="Legendary",Rules!$B$21,IF(E108="Rare",Rules!$B$20,IF(E108="Uncommon",Rules!$B$19,Rules!$B$18))))*IF(U108="Y",Rules!$B$22,1),2)</f>
        <v>16.9</v>
      </c>
      <c r="AA108" s="10" t="n">
        <f aca="false">Y108-Z108</f>
        <v>-0.899999999999999</v>
      </c>
      <c r="AB108" s="10" t="str">
        <f aca="false">IF(E108="Starter",IF(AA108&lt;0,"Starter (under on purpose)","Starter too strong"),IF(ABS(AA108)&lt;=Rules!$B$25,"Balanced",IF(AA108&gt;0,"Over budget","Under budget")))</f>
        <v>Balanced</v>
      </c>
    </row>
    <row r="109" customFormat="false" ht="15" hidden="false" customHeight="false" outlineLevel="0" collapsed="false">
      <c r="A109" s="10" t="s">
        <v>563</v>
      </c>
      <c r="B109" s="10" t="s">
        <v>564</v>
      </c>
      <c r="C109" s="10" t="s">
        <v>91</v>
      </c>
      <c r="D109" s="10" t="n">
        <v>3</v>
      </c>
      <c r="E109" s="10" t="s">
        <v>521</v>
      </c>
      <c r="F109" s="10" t="s">
        <v>114</v>
      </c>
      <c r="G109" s="11" t="s">
        <v>565</v>
      </c>
      <c r="H109" s="11" t="s">
        <v>566</v>
      </c>
      <c r="I109" s="12"/>
      <c r="J109" s="12" t="n">
        <v>16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1"/>
      <c r="Y109" s="10" t="n">
        <f aca="false">ROUND((I109*Rules!$B$28+J109*Rules!$B$28*Rules!$B$24+K109*Rules!$B$29+L109*Rules!$B$30+M109*Rules!$B$31+N109*Rules!$B$32+(O109*Rules!$B$33+P109*Rules!$B$34+Q109*Rules!$B$35)*IF(R109="Y",Rules!$B$24,1)+S109*Rules!$B$36-T109*Rules!$B$37+IF(V109="Y",Rules!$B$38,0)+W109)*IF(C109="Power",Rules!$B$23,1),2)</f>
        <v>24</v>
      </c>
      <c r="Z109" s="10" t="n">
        <f aca="false">ROUND((D109*Rules!$B$16+Rules!$B$17+IF(E109="Legendary",Rules!$B$21,IF(E109="Rare",Rules!$B$20,IF(E109="Uncommon",Rules!$B$19,Rules!$B$18))))*IF(U109="Y",Rules!$B$22,1),2)</f>
        <v>25</v>
      </c>
      <c r="AA109" s="10" t="n">
        <f aca="false">Y109-Z109</f>
        <v>-1</v>
      </c>
      <c r="AB109" s="10" t="str">
        <f aca="false">IF(E109="Starter",IF(AA109&lt;0,"Starter (under on purpose)","Starter too strong"),IF(ABS(AA109)&lt;=Rules!$B$25,"Balanced",IF(AA109&gt;0,"Over budget","Under budget")))</f>
        <v>Balanced</v>
      </c>
    </row>
    <row r="110" customFormat="false" ht="15" hidden="false" customHeight="false" outlineLevel="0" collapsed="false">
      <c r="A110" s="10" t="s">
        <v>567</v>
      </c>
      <c r="B110" s="10" t="s">
        <v>568</v>
      </c>
      <c r="C110" s="10" t="s">
        <v>91</v>
      </c>
      <c r="D110" s="10" t="n">
        <v>2</v>
      </c>
      <c r="E110" s="10" t="s">
        <v>521</v>
      </c>
      <c r="F110" s="10" t="s">
        <v>114</v>
      </c>
      <c r="G110" s="11" t="s">
        <v>569</v>
      </c>
      <c r="H110" s="11" t="s">
        <v>570</v>
      </c>
      <c r="I110" s="12" t="n">
        <v>12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 t="n">
        <v>2</v>
      </c>
      <c r="T110" s="12"/>
      <c r="U110" s="12"/>
      <c r="V110" s="12"/>
      <c r="W110" s="12"/>
      <c r="X110" s="11"/>
      <c r="Y110" s="10" t="n">
        <f aca="false">ROUND((I110*Rules!$B$28+J110*Rules!$B$28*Rules!$B$24+K110*Rules!$B$29+L110*Rules!$B$30+M110*Rules!$B$31+N110*Rules!$B$32+(O110*Rules!$B$33+P110*Rules!$B$34+Q110*Rules!$B$35)*IF(R110="Y",Rules!$B$24,1)+S110*Rules!$B$36-T110*Rules!$B$37+IF(V110="Y",Rules!$B$38,0)+W110)*IF(C110="Power",Rules!$B$23,1),2)</f>
        <v>20</v>
      </c>
      <c r="Z110" s="10" t="n">
        <f aca="false">ROUND((D110*Rules!$B$16+Rules!$B$17+IF(E110="Legendary",Rules!$B$21,IF(E110="Rare",Rules!$B$20,IF(E110="Uncommon",Rules!$B$19,Rules!$B$18))))*IF(U110="Y",Rules!$B$22,1),2)</f>
        <v>19</v>
      </c>
      <c r="AA110" s="10" t="n">
        <f aca="false">Y110-Z110</f>
        <v>1</v>
      </c>
      <c r="AB110" s="10" t="str">
        <f aca="false">IF(E110="Starter",IF(AA110&lt;0,"Starter (under on purpose)","Starter too strong"),IF(ABS(AA110)&lt;=Rules!$B$25,"Balanced",IF(AA110&gt;0,"Over budget","Under budget")))</f>
        <v>Balanced</v>
      </c>
    </row>
    <row r="111" customFormat="false" ht="141" hidden="false" customHeight="false" outlineLevel="0" collapsed="false">
      <c r="A111" s="10" t="s">
        <v>571</v>
      </c>
      <c r="B111" s="10" t="s">
        <v>572</v>
      </c>
      <c r="C111" s="10" t="s">
        <v>366</v>
      </c>
      <c r="D111" s="10" t="n">
        <v>3</v>
      </c>
      <c r="E111" s="10" t="s">
        <v>521</v>
      </c>
      <c r="F111" s="10" t="s">
        <v>138</v>
      </c>
      <c r="G111" s="11" t="s">
        <v>573</v>
      </c>
      <c r="H111" s="11" t="s">
        <v>574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 t="n">
        <v>12.5</v>
      </c>
      <c r="X111" s="11" t="s">
        <v>575</v>
      </c>
      <c r="Y111" s="10" t="n">
        <f aca="false">ROUND((I111*Rules!$B$28+J111*Rules!$B$28*Rules!$B$24+K111*Rules!$B$29+L111*Rules!$B$30+M111*Rules!$B$31+N111*Rules!$B$32+(O111*Rules!$B$33+P111*Rules!$B$34+Q111*Rules!$B$35)*IF(R111="Y",Rules!$B$24,1)+S111*Rules!$B$36-T111*Rules!$B$37+IF(V111="Y",Rules!$B$38,0)+W111)*IF(C111="Power",Rules!$B$23,1),2)</f>
        <v>25</v>
      </c>
      <c r="Z111" s="10" t="n">
        <f aca="false">ROUND((D111*Rules!$B$16+Rules!$B$17+IF(E111="Legendary",Rules!$B$21,IF(E111="Rare",Rules!$B$20,IF(E111="Uncommon",Rules!$B$19,Rules!$B$18))))*IF(U111="Y",Rules!$B$22,1),2)</f>
        <v>25</v>
      </c>
      <c r="AA111" s="10" t="n">
        <f aca="false">Y111-Z111</f>
        <v>0</v>
      </c>
      <c r="AB111" s="10" t="str">
        <f aca="false">IF(E111="Starter",IF(AA111&lt;0,"Starter (under on purpose)","Starter too strong"),IF(ABS(AA111)&lt;=Rules!$B$25,"Balanced",IF(AA111&gt;0,"Over budget","Under budget")))</f>
        <v>Balanced</v>
      </c>
    </row>
    <row r="112" customFormat="false" ht="15" hidden="false" customHeight="false" outlineLevel="0" collapsed="false">
      <c r="A112" s="10" t="s">
        <v>576</v>
      </c>
      <c r="B112" s="10" t="s">
        <v>577</v>
      </c>
      <c r="C112" s="10" t="s">
        <v>99</v>
      </c>
      <c r="D112" s="10" t="n">
        <v>2</v>
      </c>
      <c r="E112" s="10" t="s">
        <v>521</v>
      </c>
      <c r="F112" s="10" t="s">
        <v>138</v>
      </c>
      <c r="G112" s="11" t="s">
        <v>578</v>
      </c>
      <c r="H112" s="11" t="s">
        <v>579</v>
      </c>
      <c r="I112" s="12"/>
      <c r="J112" s="12"/>
      <c r="K112" s="12" t="n">
        <v>20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174</v>
      </c>
      <c r="V112" s="12"/>
      <c r="W112" s="12"/>
      <c r="X112" s="11"/>
      <c r="Y112" s="10" t="n">
        <f aca="false">ROUND((I112*Rules!$B$28+J112*Rules!$B$28*Rules!$B$24+K112*Rules!$B$29+L112*Rules!$B$30+M112*Rules!$B$31+N112*Rules!$B$32+(O112*Rules!$B$33+P112*Rules!$B$34+Q112*Rules!$B$35)*IF(R112="Y",Rules!$B$24,1)+S112*Rules!$B$36-T112*Rules!$B$37+IF(V112="Y",Rules!$B$38,0)+W112)*IF(C112="Power",Rules!$B$23,1),2)</f>
        <v>24</v>
      </c>
      <c r="Z112" s="10" t="n">
        <f aca="false">ROUND((D112*Rules!$B$16+Rules!$B$17+IF(E112="Legendary",Rules!$B$21,IF(E112="Rare",Rules!$B$20,IF(E112="Uncommon",Rules!$B$19,Rules!$B$18))))*IF(U112="Y",Rules!$B$22,1),2)</f>
        <v>24.7</v>
      </c>
      <c r="AA112" s="10" t="n">
        <f aca="false">Y112-Z112</f>
        <v>-0.699999999999999</v>
      </c>
      <c r="AB112" s="10" t="str">
        <f aca="false">IF(E112="Starter",IF(AA112&lt;0,"Starter (under on purpose)","Starter too strong"),IF(ABS(AA112)&lt;=Rules!$B$25,"Balanced",IF(AA112&gt;0,"Over budget","Under budget")))</f>
        <v>Balanced</v>
      </c>
    </row>
    <row r="113" customFormat="false" ht="15" hidden="false" customHeight="false" outlineLevel="0" collapsed="false">
      <c r="A113" s="10" t="s">
        <v>580</v>
      </c>
      <c r="B113" s="10" t="s">
        <v>581</v>
      </c>
      <c r="C113" s="10" t="s">
        <v>99</v>
      </c>
      <c r="D113" s="10" t="n">
        <v>2</v>
      </c>
      <c r="E113" s="10" t="s">
        <v>521</v>
      </c>
      <c r="F113" s="10" t="s">
        <v>138</v>
      </c>
      <c r="G113" s="11" t="s">
        <v>582</v>
      </c>
      <c r="H113" s="11" t="s">
        <v>583</v>
      </c>
      <c r="I113" s="12"/>
      <c r="J113" s="12"/>
      <c r="K113" s="12" t="n">
        <v>10</v>
      </c>
      <c r="L113" s="12"/>
      <c r="M113" s="12" t="n">
        <v>2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1"/>
      <c r="Y113" s="10" t="n">
        <f aca="false">ROUND((I113*Rules!$B$28+J113*Rules!$B$28*Rules!$B$24+K113*Rules!$B$29+L113*Rules!$B$30+M113*Rules!$B$31+N113*Rules!$B$32+(O113*Rules!$B$33+P113*Rules!$B$34+Q113*Rules!$B$35)*IF(R113="Y",Rules!$B$24,1)+S113*Rules!$B$36-T113*Rules!$B$37+IF(V113="Y",Rules!$B$38,0)+W113)*IF(C113="Power",Rules!$B$23,1),2)</f>
        <v>20</v>
      </c>
      <c r="Z113" s="10" t="n">
        <f aca="false">ROUND((D113*Rules!$B$16+Rules!$B$17+IF(E113="Legendary",Rules!$B$21,IF(E113="Rare",Rules!$B$20,IF(E113="Uncommon",Rules!$B$19,Rules!$B$18))))*IF(U113="Y",Rules!$B$22,1),2)</f>
        <v>19</v>
      </c>
      <c r="AA113" s="10" t="n">
        <f aca="false">Y113-Z113</f>
        <v>1</v>
      </c>
      <c r="AB113" s="10" t="str">
        <f aca="false">IF(E113="Starter",IF(AA113&lt;0,"Starter (under on purpose)","Starter too strong"),IF(ABS(AA113)&lt;=Rules!$B$25,"Balanced",IF(AA113&gt;0,"Over budget","Under budget")))</f>
        <v>Balanced</v>
      </c>
    </row>
    <row r="114" customFormat="false" ht="102.95" hidden="false" customHeight="false" outlineLevel="0" collapsed="false">
      <c r="A114" s="10" t="s">
        <v>584</v>
      </c>
      <c r="B114" s="10" t="s">
        <v>585</v>
      </c>
      <c r="C114" s="10" t="s">
        <v>99</v>
      </c>
      <c r="D114" s="10" t="n">
        <v>1</v>
      </c>
      <c r="E114" s="10" t="s">
        <v>521</v>
      </c>
      <c r="F114" s="10" t="s">
        <v>133</v>
      </c>
      <c r="G114" s="11" t="s">
        <v>586</v>
      </c>
      <c r="H114" s="11" t="s">
        <v>587</v>
      </c>
      <c r="I114" s="12"/>
      <c r="J114" s="12"/>
      <c r="K114" s="12"/>
      <c r="L114" s="12"/>
      <c r="M114" s="12"/>
      <c r="N114" s="12"/>
      <c r="O114" s="12"/>
      <c r="P114" s="12"/>
      <c r="Q114" s="12" t="n">
        <v>2</v>
      </c>
      <c r="R114" s="12" t="s">
        <v>174</v>
      </c>
      <c r="S114" s="12"/>
      <c r="T114" s="12"/>
      <c r="U114" s="12"/>
      <c r="V114" s="12"/>
      <c r="W114" s="12" t="n">
        <v>10</v>
      </c>
      <c r="X114" s="11" t="s">
        <v>588</v>
      </c>
      <c r="Y114" s="10" t="n">
        <f aca="false">ROUND((I114*Rules!$B$28+J114*Rules!$B$28*Rules!$B$24+K114*Rules!$B$29+L114*Rules!$B$30+M114*Rules!$B$31+N114*Rules!$B$32+(O114*Rules!$B$33+P114*Rules!$B$34+Q114*Rules!$B$35)*IF(R114="Y",Rules!$B$24,1)+S114*Rules!$B$36-T114*Rules!$B$37+IF(V114="Y",Rules!$B$38,0)+W114)*IF(C114="Power",Rules!$B$23,1),2)</f>
        <v>14.5</v>
      </c>
      <c r="Z114" s="10" t="n">
        <f aca="false">ROUND((D114*Rules!$B$16+Rules!$B$17+IF(E114="Legendary",Rules!$B$21,IF(E114="Rare",Rules!$B$20,IF(E114="Uncommon",Rules!$B$19,Rules!$B$18))))*IF(U114="Y",Rules!$B$22,1),2)</f>
        <v>13</v>
      </c>
      <c r="AA114" s="10" t="n">
        <f aca="false">Y114-Z114</f>
        <v>1.5</v>
      </c>
      <c r="AB114" s="10" t="str">
        <f aca="false">IF(E114="Starter",IF(AA114&lt;0,"Starter (under on purpose)","Starter too strong"),IF(ABS(AA114)&lt;=Rules!$B$25,"Balanced",IF(AA114&gt;0,"Over budget","Under budget")))</f>
        <v>Balanced</v>
      </c>
    </row>
    <row r="115" customFormat="false" ht="77.6" hidden="false" customHeight="false" outlineLevel="0" collapsed="false">
      <c r="A115" s="10" t="s">
        <v>589</v>
      </c>
      <c r="B115" s="10" t="s">
        <v>590</v>
      </c>
      <c r="C115" s="10" t="s">
        <v>366</v>
      </c>
      <c r="D115" s="10" t="n">
        <v>1</v>
      </c>
      <c r="E115" s="10" t="s">
        <v>521</v>
      </c>
      <c r="F115" s="10" t="s">
        <v>133</v>
      </c>
      <c r="G115" s="11" t="s">
        <v>591</v>
      </c>
      <c r="H115" s="11" t="s">
        <v>592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 t="n">
        <v>6.5</v>
      </c>
      <c r="X115" s="11" t="s">
        <v>593</v>
      </c>
      <c r="Y115" s="10" t="n">
        <f aca="false">ROUND((I115*Rules!$B$28+J115*Rules!$B$28*Rules!$B$24+K115*Rules!$B$29+L115*Rules!$B$30+M115*Rules!$B$31+N115*Rules!$B$32+(O115*Rules!$B$33+P115*Rules!$B$34+Q115*Rules!$B$35)*IF(R115="Y",Rules!$B$24,1)+S115*Rules!$B$36-T115*Rules!$B$37+IF(V115="Y",Rules!$B$38,0)+W115)*IF(C115="Power",Rules!$B$23,1),2)</f>
        <v>13</v>
      </c>
      <c r="Z115" s="10" t="n">
        <f aca="false">ROUND((D115*Rules!$B$16+Rules!$B$17+IF(E115="Legendary",Rules!$B$21,IF(E115="Rare",Rules!$B$20,IF(E115="Uncommon",Rules!$B$19,Rules!$B$18))))*IF(U115="Y",Rules!$B$22,1),2)</f>
        <v>13</v>
      </c>
      <c r="AA115" s="10" t="n">
        <f aca="false">Y115-Z115</f>
        <v>0</v>
      </c>
      <c r="AB115" s="10" t="str">
        <f aca="false">IF(E115="Starter",IF(AA115&lt;0,"Starter (under on purpose)","Starter too strong"),IF(ABS(AA115)&lt;=Rules!$B$25,"Balanced",IF(AA115&gt;0,"Over budget","Under budget")))</f>
        <v>Balanced</v>
      </c>
    </row>
    <row r="116" customFormat="false" ht="15" hidden="false" customHeight="false" outlineLevel="0" collapsed="false">
      <c r="A116" s="10" t="s">
        <v>594</v>
      </c>
      <c r="B116" s="10" t="s">
        <v>595</v>
      </c>
      <c r="C116" s="10" t="s">
        <v>91</v>
      </c>
      <c r="D116" s="10" t="n">
        <v>2</v>
      </c>
      <c r="E116" s="10" t="s">
        <v>521</v>
      </c>
      <c r="F116" s="10" t="s">
        <v>133</v>
      </c>
      <c r="G116" s="11" t="s">
        <v>596</v>
      </c>
      <c r="H116" s="11" t="s">
        <v>597</v>
      </c>
      <c r="I116" s="12" t="n">
        <v>10</v>
      </c>
      <c r="J116" s="12"/>
      <c r="K116" s="12"/>
      <c r="L116" s="12"/>
      <c r="M116" s="12"/>
      <c r="N116" s="12"/>
      <c r="O116" s="12"/>
      <c r="P116" s="12"/>
      <c r="Q116" s="12" t="n">
        <v>6</v>
      </c>
      <c r="R116" s="12"/>
      <c r="S116" s="12"/>
      <c r="T116" s="12"/>
      <c r="U116" s="12"/>
      <c r="V116" s="12"/>
      <c r="W116" s="12"/>
      <c r="X116" s="11"/>
      <c r="Y116" s="10" t="n">
        <f aca="false">ROUND((I116*Rules!$B$28+J116*Rules!$B$28*Rules!$B$24+K116*Rules!$B$29+L116*Rules!$B$30+M116*Rules!$B$31+N116*Rules!$B$32+(O116*Rules!$B$33+P116*Rules!$B$34+Q116*Rules!$B$35)*IF(R116="Y",Rules!$B$24,1)+S116*Rules!$B$36-T116*Rules!$B$37+IF(V116="Y",Rules!$B$38,0)+W116)*IF(C116="Power",Rules!$B$23,1),2)</f>
        <v>19</v>
      </c>
      <c r="Z116" s="10" t="n">
        <f aca="false">ROUND((D116*Rules!$B$16+Rules!$B$17+IF(E116="Legendary",Rules!$B$21,IF(E116="Rare",Rules!$B$20,IF(E116="Uncommon",Rules!$B$19,Rules!$B$18))))*IF(U116="Y",Rules!$B$22,1),2)</f>
        <v>19</v>
      </c>
      <c r="AA116" s="10" t="n">
        <f aca="false">Y116-Z116</f>
        <v>0</v>
      </c>
      <c r="AB116" s="10" t="str">
        <f aca="false">IF(E116="Starter",IF(AA116&lt;0,"Starter (under on purpose)","Starter too strong"),IF(ABS(AA116)&lt;=Rules!$B$25,"Balanced",IF(AA116&gt;0,"Over budget","Under budget")))</f>
        <v>Balanced</v>
      </c>
    </row>
    <row r="117" customFormat="false" ht="15" hidden="false" customHeight="false" outlineLevel="0" collapsed="false">
      <c r="A117" s="10" t="s">
        <v>598</v>
      </c>
      <c r="B117" s="10" t="s">
        <v>599</v>
      </c>
      <c r="C117" s="10" t="s">
        <v>99</v>
      </c>
      <c r="D117" s="10" t="n">
        <v>2</v>
      </c>
      <c r="E117" s="10" t="s">
        <v>521</v>
      </c>
      <c r="F117" s="10" t="s">
        <v>133</v>
      </c>
      <c r="G117" s="11" t="s">
        <v>600</v>
      </c>
      <c r="H117" s="11" t="s">
        <v>601</v>
      </c>
      <c r="I117" s="12"/>
      <c r="J117" s="12"/>
      <c r="K117" s="12"/>
      <c r="L117" s="12"/>
      <c r="M117" s="12"/>
      <c r="N117" s="12"/>
      <c r="O117" s="12"/>
      <c r="P117" s="12"/>
      <c r="Q117" s="12" t="n">
        <v>12</v>
      </c>
      <c r="R117" s="12"/>
      <c r="S117" s="12"/>
      <c r="T117" s="12"/>
      <c r="U117" s="12"/>
      <c r="V117" s="12"/>
      <c r="W117" s="12"/>
      <c r="X117" s="11"/>
      <c r="Y117" s="10" t="n">
        <f aca="false">ROUND((I117*Rules!$B$28+J117*Rules!$B$28*Rules!$B$24+K117*Rules!$B$29+L117*Rules!$B$30+M117*Rules!$B$31+N117*Rules!$B$32+(O117*Rules!$B$33+P117*Rules!$B$34+Q117*Rules!$B$35)*IF(R117="Y",Rules!$B$24,1)+S117*Rules!$B$36-T117*Rules!$B$37+IF(V117="Y",Rules!$B$38,0)+W117)*IF(C117="Power",Rules!$B$23,1),2)</f>
        <v>18</v>
      </c>
      <c r="Z117" s="10" t="n">
        <f aca="false">ROUND((D117*Rules!$B$16+Rules!$B$17+IF(E117="Legendary",Rules!$B$21,IF(E117="Rare",Rules!$B$20,IF(E117="Uncommon",Rules!$B$19,Rules!$B$18))))*IF(U117="Y",Rules!$B$22,1),2)</f>
        <v>19</v>
      </c>
      <c r="AA117" s="10" t="n">
        <f aca="false">Y117-Z117</f>
        <v>-1</v>
      </c>
      <c r="AB117" s="10" t="str">
        <f aca="false">IF(E117="Starter",IF(AA117&lt;0,"Starter (under on purpose)","Starter too strong"),IF(ABS(AA117)&lt;=Rules!$B$25,"Balanced",IF(AA117&gt;0,"Over budget","Under budget")))</f>
        <v>Balanced</v>
      </c>
    </row>
    <row r="118" customFormat="false" ht="77.6" hidden="false" customHeight="false" outlineLevel="0" collapsed="false">
      <c r="A118" s="10" t="s">
        <v>602</v>
      </c>
      <c r="B118" s="10" t="s">
        <v>603</v>
      </c>
      <c r="C118" s="10" t="s">
        <v>366</v>
      </c>
      <c r="D118" s="10" t="n">
        <v>1</v>
      </c>
      <c r="E118" s="10" t="s">
        <v>521</v>
      </c>
      <c r="F118" s="10" t="s">
        <v>147</v>
      </c>
      <c r="G118" s="11" t="s">
        <v>604</v>
      </c>
      <c r="H118" s="11" t="s">
        <v>605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 t="n">
        <v>6.5</v>
      </c>
      <c r="X118" s="11" t="s">
        <v>606</v>
      </c>
      <c r="Y118" s="10" t="n">
        <f aca="false">ROUND((I118*Rules!$B$28+J118*Rules!$B$28*Rules!$B$24+K118*Rules!$B$29+L118*Rules!$B$30+M118*Rules!$B$31+N118*Rules!$B$32+(O118*Rules!$B$33+P118*Rules!$B$34+Q118*Rules!$B$35)*IF(R118="Y",Rules!$B$24,1)+S118*Rules!$B$36-T118*Rules!$B$37+IF(V118="Y",Rules!$B$38,0)+W118)*IF(C118="Power",Rules!$B$23,1),2)</f>
        <v>13</v>
      </c>
      <c r="Z118" s="10" t="n">
        <f aca="false">ROUND((D118*Rules!$B$16+Rules!$B$17+IF(E118="Legendary",Rules!$B$21,IF(E118="Rare",Rules!$B$20,IF(E118="Uncommon",Rules!$B$19,Rules!$B$18))))*IF(U118="Y",Rules!$B$22,1),2)</f>
        <v>13</v>
      </c>
      <c r="AA118" s="10" t="n">
        <f aca="false">Y118-Z118</f>
        <v>0</v>
      </c>
      <c r="AB118" s="10" t="str">
        <f aca="false">IF(E118="Starter",IF(AA118&lt;0,"Starter (under on purpose)","Starter too strong"),IF(ABS(AA118)&lt;=Rules!$B$25,"Balanced",IF(AA118&gt;0,"Over budget","Under budget")))</f>
        <v>Balanced</v>
      </c>
    </row>
    <row r="119" customFormat="false" ht="15" hidden="false" customHeight="false" outlineLevel="0" collapsed="false">
      <c r="A119" s="10" t="s">
        <v>607</v>
      </c>
      <c r="B119" s="10" t="s">
        <v>608</v>
      </c>
      <c r="C119" s="10" t="s">
        <v>99</v>
      </c>
      <c r="D119" s="10" t="n">
        <v>1</v>
      </c>
      <c r="E119" s="10" t="s">
        <v>521</v>
      </c>
      <c r="F119" s="10" t="s">
        <v>147</v>
      </c>
      <c r="G119" s="11" t="s">
        <v>609</v>
      </c>
      <c r="H119" s="11" t="s">
        <v>610</v>
      </c>
      <c r="I119" s="12"/>
      <c r="J119" s="12"/>
      <c r="K119" s="12"/>
      <c r="L119" s="12"/>
      <c r="M119" s="12"/>
      <c r="N119" s="12"/>
      <c r="O119" s="12" t="n">
        <v>3</v>
      </c>
      <c r="P119" s="12" t="n">
        <v>3</v>
      </c>
      <c r="Q119" s="12"/>
      <c r="R119" s="12"/>
      <c r="S119" s="12"/>
      <c r="T119" s="12"/>
      <c r="U119" s="12" t="s">
        <v>174</v>
      </c>
      <c r="V119" s="12"/>
      <c r="W119" s="12"/>
      <c r="X119" s="11"/>
      <c r="Y119" s="10" t="n">
        <f aca="false">ROUND((I119*Rules!$B$28+J119*Rules!$B$28*Rules!$B$24+K119*Rules!$B$29+L119*Rules!$B$30+M119*Rules!$B$31+N119*Rules!$B$32+(O119*Rules!$B$33+P119*Rules!$B$34+Q119*Rules!$B$35)*IF(R119="Y",Rules!$B$24,1)+S119*Rules!$B$36-T119*Rules!$B$37+IF(V119="Y",Rules!$B$38,0)+W119)*IF(C119="Power",Rules!$B$23,1),2)</f>
        <v>18</v>
      </c>
      <c r="Z119" s="10" t="n">
        <f aca="false">ROUND((D119*Rules!$B$16+Rules!$B$17+IF(E119="Legendary",Rules!$B$21,IF(E119="Rare",Rules!$B$20,IF(E119="Uncommon",Rules!$B$19,Rules!$B$18))))*IF(U119="Y",Rules!$B$22,1),2)</f>
        <v>16.9</v>
      </c>
      <c r="AA119" s="10" t="n">
        <f aca="false">Y119-Z119</f>
        <v>1.1</v>
      </c>
      <c r="AB119" s="10" t="str">
        <f aca="false">IF(E119="Starter",IF(AA119&lt;0,"Starter (under on purpose)","Starter too strong"),IF(ABS(AA119)&lt;=Rules!$B$25,"Balanced",IF(AA119&gt;0,"Over budget","Under budget")))</f>
        <v>Balanced</v>
      </c>
    </row>
    <row r="120" customFormat="false" ht="15" hidden="false" customHeight="false" outlineLevel="0" collapsed="false">
      <c r="A120" s="10" t="s">
        <v>611</v>
      </c>
      <c r="B120" s="10" t="s">
        <v>612</v>
      </c>
      <c r="C120" s="10" t="s">
        <v>99</v>
      </c>
      <c r="D120" s="10" t="n">
        <v>1</v>
      </c>
      <c r="E120" s="10" t="s">
        <v>521</v>
      </c>
      <c r="F120" s="10" t="s">
        <v>147</v>
      </c>
      <c r="G120" s="11" t="s">
        <v>518</v>
      </c>
      <c r="H120" s="11" t="s">
        <v>613</v>
      </c>
      <c r="I120" s="12"/>
      <c r="J120" s="12"/>
      <c r="K120" s="12"/>
      <c r="L120" s="12"/>
      <c r="M120" s="12" t="n">
        <v>3</v>
      </c>
      <c r="N120" s="12"/>
      <c r="O120" s="12"/>
      <c r="P120" s="12"/>
      <c r="Q120" s="12"/>
      <c r="R120" s="12"/>
      <c r="S120" s="12"/>
      <c r="T120" s="12"/>
      <c r="U120" s="12"/>
      <c r="V120" s="12" t="s">
        <v>174</v>
      </c>
      <c r="W120" s="12"/>
      <c r="X120" s="11"/>
      <c r="Y120" s="10" t="n">
        <f aca="false">ROUND((I120*Rules!$B$28+J120*Rules!$B$28*Rules!$B$24+K120*Rules!$B$29+L120*Rules!$B$30+M120*Rules!$B$31+N120*Rules!$B$32+(O120*Rules!$B$33+P120*Rules!$B$34+Q120*Rules!$B$35)*IF(R120="Y",Rules!$B$24,1)+S120*Rules!$B$36-T120*Rules!$B$37+IF(V120="Y",Rules!$B$38,0)+W120)*IF(C120="Power",Rules!$B$23,1),2)</f>
        <v>14</v>
      </c>
      <c r="Z120" s="10" t="n">
        <f aca="false">ROUND((D120*Rules!$B$16+Rules!$B$17+IF(E120="Legendary",Rules!$B$21,IF(E120="Rare",Rules!$B$20,IF(E120="Uncommon",Rules!$B$19,Rules!$B$18))))*IF(U120="Y",Rules!$B$22,1),2)</f>
        <v>13</v>
      </c>
      <c r="AA120" s="10" t="n">
        <f aca="false">Y120-Z120</f>
        <v>1</v>
      </c>
      <c r="AB120" s="10" t="str">
        <f aca="false">IF(E120="Starter",IF(AA120&lt;0,"Starter (under on purpose)","Starter too strong"),IF(ABS(AA120)&lt;=Rules!$B$25,"Balanced",IF(AA120&gt;0,"Over budget","Under budget")))</f>
        <v>Balanced</v>
      </c>
    </row>
    <row r="121" customFormat="false" ht="102.95" hidden="false" customHeight="false" outlineLevel="0" collapsed="false">
      <c r="A121" s="10" t="s">
        <v>614</v>
      </c>
      <c r="B121" s="10" t="s">
        <v>615</v>
      </c>
      <c r="C121" s="10" t="s">
        <v>91</v>
      </c>
      <c r="D121" s="10" t="n">
        <v>1</v>
      </c>
      <c r="E121" s="10" t="s">
        <v>521</v>
      </c>
      <c r="F121" s="10" t="s">
        <v>147</v>
      </c>
      <c r="G121" s="11" t="s">
        <v>616</v>
      </c>
      <c r="H121" s="11" t="s">
        <v>617</v>
      </c>
      <c r="I121" s="12" t="n">
        <v>8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 t="n">
        <v>5</v>
      </c>
      <c r="X121" s="11" t="s">
        <v>618</v>
      </c>
      <c r="Y121" s="10" t="n">
        <f aca="false">ROUND((I121*Rules!$B$28+J121*Rules!$B$28*Rules!$B$24+K121*Rules!$B$29+L121*Rules!$B$30+M121*Rules!$B$31+N121*Rules!$B$32+(O121*Rules!$B$33+P121*Rules!$B$34+Q121*Rules!$B$35)*IF(R121="Y",Rules!$B$24,1)+S121*Rules!$B$36-T121*Rules!$B$37+IF(V121="Y",Rules!$B$38,0)+W121)*IF(C121="Power",Rules!$B$23,1),2)</f>
        <v>13</v>
      </c>
      <c r="Z121" s="10" t="n">
        <f aca="false">ROUND((D121*Rules!$B$16+Rules!$B$17+IF(E121="Legendary",Rules!$B$21,IF(E121="Rare",Rules!$B$20,IF(E121="Uncommon",Rules!$B$19,Rules!$B$18))))*IF(U121="Y",Rules!$B$22,1),2)</f>
        <v>13</v>
      </c>
      <c r="AA121" s="10" t="n">
        <f aca="false">Y121-Z121</f>
        <v>0</v>
      </c>
      <c r="AB121" s="10" t="str">
        <f aca="false">IF(E121="Starter",IF(AA121&lt;0,"Starter (under on purpose)","Starter too strong"),IF(ABS(AA121)&lt;=Rules!$B$25,"Balanced",IF(AA121&gt;0,"Over budget","Under budget")))</f>
        <v>Balanced</v>
      </c>
    </row>
    <row r="122" customFormat="false" ht="128.35" hidden="false" customHeight="false" outlineLevel="0" collapsed="false">
      <c r="A122" s="13" t="s">
        <v>619</v>
      </c>
      <c r="B122" s="13" t="s">
        <v>620</v>
      </c>
      <c r="C122" s="13" t="s">
        <v>366</v>
      </c>
      <c r="D122" s="13" t="n">
        <v>2</v>
      </c>
      <c r="E122" s="13" t="s">
        <v>621</v>
      </c>
      <c r="F122" s="13" t="s">
        <v>114</v>
      </c>
      <c r="G122" s="11" t="s">
        <v>622</v>
      </c>
      <c r="H122" s="11" t="s">
        <v>623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 t="n">
        <v>2</v>
      </c>
      <c r="U122" s="12"/>
      <c r="V122" s="12"/>
      <c r="W122" s="12" t="n">
        <v>13.5</v>
      </c>
      <c r="X122" s="11" t="s">
        <v>624</v>
      </c>
      <c r="Y122" s="10" t="n">
        <f aca="false">ROUND((I122*Rules!$B$28+J122*Rules!$B$28*Rules!$B$24+K122*Rules!$B$29+L122*Rules!$B$30+M122*Rules!$B$31+N122*Rules!$B$32+(O122*Rules!$B$33+P122*Rules!$B$34+Q122*Rules!$B$35)*IF(R122="Y",Rules!$B$24,1)+S122*Rules!$B$36-T122*Rules!$B$37+IF(V122="Y",Rules!$B$38,0)+W122)*IF(C122="Power",Rules!$B$23,1),2)</f>
        <v>21</v>
      </c>
      <c r="Z122" s="10" t="n">
        <f aca="false">ROUND((D122*Rules!$B$16+Rules!$B$17+IF(E122="Legendary",Rules!$B$21,IF(E122="Rare",Rules!$B$20,IF(E122="Uncommon",Rules!$B$19,Rules!$B$18))))*IF(U122="Y",Rules!$B$22,1),2)</f>
        <v>21</v>
      </c>
      <c r="AA122" s="10" t="n">
        <f aca="false">Y122-Z122</f>
        <v>0</v>
      </c>
      <c r="AB122" s="10" t="str">
        <f aca="false">IF(E122="Starter",IF(AA122&lt;0,"Starter (under on purpose)","Starter too strong"),IF(ABS(AA122)&lt;=Rules!$B$25,"Balanced",IF(AA122&gt;0,"Over budget","Under budget")))</f>
        <v>Balanced</v>
      </c>
    </row>
    <row r="123" customFormat="false" ht="77.6" hidden="false" customHeight="false" outlineLevel="0" collapsed="false">
      <c r="A123" s="13" t="s">
        <v>625</v>
      </c>
      <c r="B123" s="13" t="s">
        <v>626</v>
      </c>
      <c r="C123" s="13" t="s">
        <v>99</v>
      </c>
      <c r="D123" s="13" t="n">
        <v>1</v>
      </c>
      <c r="E123" s="13" t="s">
        <v>621</v>
      </c>
      <c r="F123" s="13" t="s">
        <v>114</v>
      </c>
      <c r="G123" s="11" t="s">
        <v>627</v>
      </c>
      <c r="H123" s="11" t="s">
        <v>628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 t="n">
        <v>15</v>
      </c>
      <c r="X123" s="11" t="s">
        <v>629</v>
      </c>
      <c r="Y123" s="10" t="n">
        <f aca="false">ROUND((I123*Rules!$B$28+J123*Rules!$B$28*Rules!$B$24+K123*Rules!$B$29+L123*Rules!$B$30+M123*Rules!$B$31+N123*Rules!$B$32+(O123*Rules!$B$33+P123*Rules!$B$34+Q123*Rules!$B$35)*IF(R123="Y",Rules!$B$24,1)+S123*Rules!$B$36-T123*Rules!$B$37+IF(V123="Y",Rules!$B$38,0)+W123)*IF(C123="Power",Rules!$B$23,1),2)</f>
        <v>15</v>
      </c>
      <c r="Z123" s="10" t="n">
        <f aca="false">ROUND((D123*Rules!$B$16+Rules!$B$17+IF(E123="Legendary",Rules!$B$21,IF(E123="Rare",Rules!$B$20,IF(E123="Uncommon",Rules!$B$19,Rules!$B$18))))*IF(U123="Y",Rules!$B$22,1),2)</f>
        <v>15</v>
      </c>
      <c r="AA123" s="10" t="n">
        <f aca="false">Y123-Z123</f>
        <v>0</v>
      </c>
      <c r="AB123" s="10" t="str">
        <f aca="false">IF(E123="Starter",IF(AA123&lt;0,"Starter (under on purpose)","Starter too strong"),IF(ABS(AA123)&lt;=Rules!$B$25,"Balanced",IF(AA123&gt;0,"Over budget","Under budget")))</f>
        <v>Balanced</v>
      </c>
    </row>
    <row r="124" customFormat="false" ht="90.25" hidden="false" customHeight="false" outlineLevel="0" collapsed="false">
      <c r="A124" s="13" t="s">
        <v>630</v>
      </c>
      <c r="B124" s="13" t="s">
        <v>631</v>
      </c>
      <c r="C124" s="13" t="s">
        <v>99</v>
      </c>
      <c r="D124" s="13" t="n">
        <v>2</v>
      </c>
      <c r="E124" s="13" t="s">
        <v>621</v>
      </c>
      <c r="F124" s="13" t="s">
        <v>138</v>
      </c>
      <c r="G124" s="11" t="s">
        <v>632</v>
      </c>
      <c r="H124" s="11" t="s">
        <v>633</v>
      </c>
      <c r="I124" s="12"/>
      <c r="J124" s="12"/>
      <c r="K124" s="12" t="n">
        <v>12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174</v>
      </c>
      <c r="V124" s="12"/>
      <c r="W124" s="12" t="n">
        <v>13</v>
      </c>
      <c r="X124" s="11" t="s">
        <v>634</v>
      </c>
      <c r="Y124" s="10" t="n">
        <f aca="false">ROUND((I124*Rules!$B$28+J124*Rules!$B$28*Rules!$B$24+K124*Rules!$B$29+L124*Rules!$B$30+M124*Rules!$B$31+N124*Rules!$B$32+(O124*Rules!$B$33+P124*Rules!$B$34+Q124*Rules!$B$35)*IF(R124="Y",Rules!$B$24,1)+S124*Rules!$B$36-T124*Rules!$B$37+IF(V124="Y",Rules!$B$38,0)+W124)*IF(C124="Power",Rules!$B$23,1),2)</f>
        <v>27.4</v>
      </c>
      <c r="Z124" s="10" t="n">
        <f aca="false">ROUND((D124*Rules!$B$16+Rules!$B$17+IF(E124="Legendary",Rules!$B$21,IF(E124="Rare",Rules!$B$20,IF(E124="Uncommon",Rules!$B$19,Rules!$B$18))))*IF(U124="Y",Rules!$B$22,1),2)</f>
        <v>27.3</v>
      </c>
      <c r="AA124" s="10" t="n">
        <f aca="false">Y124-Z124</f>
        <v>0.0999999999999979</v>
      </c>
      <c r="AB124" s="10" t="str">
        <f aca="false">IF(E124="Starter",IF(AA124&lt;0,"Starter (under on purpose)","Starter too strong"),IF(ABS(AA124)&lt;=Rules!$B$25,"Balanced",IF(AA124&gt;0,"Over budget","Under budget")))</f>
        <v>Balanced</v>
      </c>
    </row>
    <row r="125" customFormat="false" ht="90.25" hidden="false" customHeight="false" outlineLevel="0" collapsed="false">
      <c r="A125" s="13" t="s">
        <v>635</v>
      </c>
      <c r="B125" s="13" t="s">
        <v>636</v>
      </c>
      <c r="C125" s="13" t="s">
        <v>366</v>
      </c>
      <c r="D125" s="13" t="n">
        <v>3</v>
      </c>
      <c r="E125" s="13" t="s">
        <v>621</v>
      </c>
      <c r="F125" s="13" t="s">
        <v>138</v>
      </c>
      <c r="G125" s="11" t="s">
        <v>637</v>
      </c>
      <c r="H125" s="11" t="s">
        <v>638</v>
      </c>
      <c r="I125" s="12"/>
      <c r="J125" s="12"/>
      <c r="K125" s="12" t="n">
        <v>5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 t="n">
        <v>7.5</v>
      </c>
      <c r="X125" s="11" t="s">
        <v>639</v>
      </c>
      <c r="Y125" s="10" t="n">
        <f aca="false">ROUND((I125*Rules!$B$28+J125*Rules!$B$28*Rules!$B$24+K125*Rules!$B$29+L125*Rules!$B$30+M125*Rules!$B$31+N125*Rules!$B$32+(O125*Rules!$B$33+P125*Rules!$B$34+Q125*Rules!$B$35)*IF(R125="Y",Rules!$B$24,1)+S125*Rules!$B$36-T125*Rules!$B$37+IF(V125="Y",Rules!$B$38,0)+W125)*IF(C125="Power",Rules!$B$23,1),2)</f>
        <v>27</v>
      </c>
      <c r="Z125" s="10" t="n">
        <f aca="false">ROUND((D125*Rules!$B$16+Rules!$B$17+IF(E125="Legendary",Rules!$B$21,IF(E125="Rare",Rules!$B$20,IF(E125="Uncommon",Rules!$B$19,Rules!$B$18))))*IF(U125="Y",Rules!$B$22,1),2)</f>
        <v>27</v>
      </c>
      <c r="AA125" s="10" t="n">
        <f aca="false">Y125-Z125</f>
        <v>0</v>
      </c>
      <c r="AB125" s="10" t="str">
        <f aca="false">IF(E125="Starter",IF(AA125&lt;0,"Starter (under on purpose)","Starter too strong"),IF(ABS(AA125)&lt;=Rules!$B$25,"Balanced",IF(AA125&gt;0,"Over budget","Under budget")))</f>
        <v>Balanced</v>
      </c>
    </row>
    <row r="126" customFormat="false" ht="90.25" hidden="false" customHeight="false" outlineLevel="0" collapsed="false">
      <c r="A126" s="13" t="s">
        <v>640</v>
      </c>
      <c r="B126" s="13" t="s">
        <v>641</v>
      </c>
      <c r="C126" s="13" t="s">
        <v>366</v>
      </c>
      <c r="D126" s="13" t="n">
        <v>2</v>
      </c>
      <c r="E126" s="13" t="s">
        <v>621</v>
      </c>
      <c r="F126" s="13" t="s">
        <v>133</v>
      </c>
      <c r="G126" s="11" t="s">
        <v>642</v>
      </c>
      <c r="H126" s="11" t="s">
        <v>643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 t="n">
        <v>10.5</v>
      </c>
      <c r="X126" s="11" t="s">
        <v>644</v>
      </c>
      <c r="Y126" s="10" t="n">
        <f aca="false">ROUND((I126*Rules!$B$28+J126*Rules!$B$28*Rules!$B$24+K126*Rules!$B$29+L126*Rules!$B$30+M126*Rules!$B$31+N126*Rules!$B$32+(O126*Rules!$B$33+P126*Rules!$B$34+Q126*Rules!$B$35)*IF(R126="Y",Rules!$B$24,1)+S126*Rules!$B$36-T126*Rules!$B$37+IF(V126="Y",Rules!$B$38,0)+W126)*IF(C126="Power",Rules!$B$23,1),2)</f>
        <v>21</v>
      </c>
      <c r="Z126" s="10" t="n">
        <f aca="false">ROUND((D126*Rules!$B$16+Rules!$B$17+IF(E126="Legendary",Rules!$B$21,IF(E126="Rare",Rules!$B$20,IF(E126="Uncommon",Rules!$B$19,Rules!$B$18))))*IF(U126="Y",Rules!$B$22,1),2)</f>
        <v>21</v>
      </c>
      <c r="AA126" s="10" t="n">
        <f aca="false">Y126-Z126</f>
        <v>0</v>
      </c>
      <c r="AB126" s="10" t="str">
        <f aca="false">IF(E126="Starter",IF(AA126&lt;0,"Starter (under on purpose)","Starter too strong"),IF(ABS(AA126)&lt;=Rules!$B$25,"Balanced",IF(AA126&gt;0,"Over budget","Under budget")))</f>
        <v>Balanced</v>
      </c>
    </row>
    <row r="127" customFormat="false" ht="64.9" hidden="false" customHeight="false" outlineLevel="0" collapsed="false">
      <c r="A127" s="13" t="s">
        <v>645</v>
      </c>
      <c r="B127" s="13" t="s">
        <v>646</v>
      </c>
      <c r="C127" s="13" t="s">
        <v>91</v>
      </c>
      <c r="D127" s="13" t="n">
        <v>1</v>
      </c>
      <c r="E127" s="13" t="s">
        <v>621</v>
      </c>
      <c r="F127" s="13" t="s">
        <v>133</v>
      </c>
      <c r="G127" s="11" t="s">
        <v>647</v>
      </c>
      <c r="H127" s="11" t="s">
        <v>648</v>
      </c>
      <c r="I127" s="12" t="n">
        <v>5</v>
      </c>
      <c r="J127" s="12"/>
      <c r="K127" s="12"/>
      <c r="L127" s="12"/>
      <c r="M127" s="12"/>
      <c r="N127" s="12"/>
      <c r="O127" s="12"/>
      <c r="P127" s="12"/>
      <c r="Q127" s="12" t="n">
        <v>5</v>
      </c>
      <c r="R127" s="12"/>
      <c r="S127" s="12"/>
      <c r="T127" s="12"/>
      <c r="U127" s="12"/>
      <c r="V127" s="12"/>
      <c r="W127" s="12" t="n">
        <v>2.5</v>
      </c>
      <c r="X127" s="11" t="s">
        <v>649</v>
      </c>
      <c r="Y127" s="10" t="n">
        <f aca="false">ROUND((I127*Rules!$B$28+J127*Rules!$B$28*Rules!$B$24+K127*Rules!$B$29+L127*Rules!$B$30+M127*Rules!$B$31+N127*Rules!$B$32+(O127*Rules!$B$33+P127*Rules!$B$34+Q127*Rules!$B$35)*IF(R127="Y",Rules!$B$24,1)+S127*Rules!$B$36-T127*Rules!$B$37+IF(V127="Y",Rules!$B$38,0)+W127)*IF(C127="Power",Rules!$B$23,1),2)</f>
        <v>15</v>
      </c>
      <c r="Z127" s="10" t="n">
        <f aca="false">ROUND((D127*Rules!$B$16+Rules!$B$17+IF(E127="Legendary",Rules!$B$21,IF(E127="Rare",Rules!$B$20,IF(E127="Uncommon",Rules!$B$19,Rules!$B$18))))*IF(U127="Y",Rules!$B$22,1),2)</f>
        <v>15</v>
      </c>
      <c r="AA127" s="10" t="n">
        <f aca="false">Y127-Z127</f>
        <v>0</v>
      </c>
      <c r="AB127" s="10" t="str">
        <f aca="false">IF(E127="Starter",IF(AA127&lt;0,"Starter (under on purpose)","Starter too strong"),IF(ABS(AA127)&lt;=Rules!$B$25,"Balanced",IF(AA127&gt;0,"Over budget","Under budget")))</f>
        <v>Balanced</v>
      </c>
    </row>
    <row r="128" customFormat="false" ht="64.9" hidden="false" customHeight="false" outlineLevel="0" collapsed="false">
      <c r="A128" s="13" t="s">
        <v>650</v>
      </c>
      <c r="B128" s="13" t="s">
        <v>651</v>
      </c>
      <c r="C128" s="13" t="s">
        <v>99</v>
      </c>
      <c r="D128" s="13" t="n">
        <v>2</v>
      </c>
      <c r="E128" s="13" t="s">
        <v>621</v>
      </c>
      <c r="F128" s="13" t="s">
        <v>147</v>
      </c>
      <c r="G128" s="11" t="s">
        <v>652</v>
      </c>
      <c r="H128" s="11" t="s">
        <v>653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174</v>
      </c>
      <c r="V128" s="12"/>
      <c r="W128" s="12" t="n">
        <v>27.3</v>
      </c>
      <c r="X128" s="11" t="s">
        <v>654</v>
      </c>
      <c r="Y128" s="10" t="n">
        <f aca="false">ROUND((I128*Rules!$B$28+J128*Rules!$B$28*Rules!$B$24+K128*Rules!$B$29+L128*Rules!$B$30+M128*Rules!$B$31+N128*Rules!$B$32+(O128*Rules!$B$33+P128*Rules!$B$34+Q128*Rules!$B$35)*IF(R128="Y",Rules!$B$24,1)+S128*Rules!$B$36-T128*Rules!$B$37+IF(V128="Y",Rules!$B$38,0)+W128)*IF(C128="Power",Rules!$B$23,1),2)</f>
        <v>27.3</v>
      </c>
      <c r="Z128" s="10" t="n">
        <f aca="false">ROUND((D128*Rules!$B$16+Rules!$B$17+IF(E128="Legendary",Rules!$B$21,IF(E128="Rare",Rules!$B$20,IF(E128="Uncommon",Rules!$B$19,Rules!$B$18))))*IF(U128="Y",Rules!$B$22,1),2)</f>
        <v>27.3</v>
      </c>
      <c r="AA128" s="10" t="n">
        <f aca="false">Y128-Z128</f>
        <v>0</v>
      </c>
      <c r="AB128" s="10" t="str">
        <f aca="false">IF(E128="Starter",IF(AA128&lt;0,"Starter (under on purpose)","Starter too strong"),IF(ABS(AA128)&lt;=Rules!$B$25,"Balanced",IF(AA128&gt;0,"Over budget","Under budget")))</f>
        <v>Balanced</v>
      </c>
    </row>
    <row r="129" customFormat="false" ht="77.6" hidden="false" customHeight="false" outlineLevel="0" collapsed="false">
      <c r="A129" s="13" t="s">
        <v>655</v>
      </c>
      <c r="B129" s="13" t="s">
        <v>656</v>
      </c>
      <c r="C129" s="13" t="s">
        <v>366</v>
      </c>
      <c r="D129" s="13" t="n">
        <v>2</v>
      </c>
      <c r="E129" s="13" t="s">
        <v>621</v>
      </c>
      <c r="F129" s="13" t="s">
        <v>147</v>
      </c>
      <c r="G129" s="11" t="s">
        <v>657</v>
      </c>
      <c r="H129" s="11" t="s">
        <v>658</v>
      </c>
      <c r="I129" s="12"/>
      <c r="J129" s="12"/>
      <c r="K129" s="12"/>
      <c r="L129" s="12"/>
      <c r="M129" s="12" t="n">
        <v>1</v>
      </c>
      <c r="N129" s="12" t="n">
        <v>1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1" t="s">
        <v>659</v>
      </c>
      <c r="Y129" s="10" t="n">
        <f aca="false">ROUND((I129*Rules!$B$28+J129*Rules!$B$28*Rules!$B$24+K129*Rules!$B$29+L129*Rules!$B$30+M129*Rules!$B$31+N129*Rules!$B$32+(O129*Rules!$B$33+P129*Rules!$B$34+Q129*Rules!$B$35)*IF(R129="Y",Rules!$B$24,1)+S129*Rules!$B$36-T129*Rules!$B$37+IF(V129="Y",Rules!$B$38,0)+W129)*IF(C129="Power",Rules!$B$23,1),2)</f>
        <v>20</v>
      </c>
      <c r="Z129" s="10" t="n">
        <f aca="false">ROUND((D129*Rules!$B$16+Rules!$B$17+IF(E129="Legendary",Rules!$B$21,IF(E129="Rare",Rules!$B$20,IF(E129="Uncommon",Rules!$B$19,Rules!$B$18))))*IF(U129="Y",Rules!$B$22,1),2)</f>
        <v>21</v>
      </c>
      <c r="AA129" s="10" t="n">
        <f aca="false">Y129-Z129</f>
        <v>-1</v>
      </c>
      <c r="AB129" s="10" t="str">
        <f aca="false">IF(E129="Starter",IF(AA129&lt;0,"Starter (under on purpose)","Starter too strong"),IF(ABS(AA129)&lt;=Rules!$B$25,"Balanced",IF(AA129&gt;0,"Over budget","Under budget")))</f>
        <v>Balanced</v>
      </c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4"/>
      <c r="G130" s="14"/>
      <c r="H130" s="1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4"/>
      <c r="Y130" s="10" t="str">
        <f aca="false">IF(B130="","",ROUND((I130*Rules!$B$28+J130*Rules!$B$28*Rules!$B$24+K130*Rules!$B$29+L130*Rules!$B$30+M130*Rules!$B$31+N130*Rules!$B$32+(O130*Rules!$B$33+P130*Rules!$B$34+Q130*Rules!$B$35)*IF(R130="Y",Rules!$B$24,1)+S130*Rules!$B$36-T130*Rules!$B$37+IF(V130="Y",Rules!$B$38,0)+W130)*IF(C130="Power",Rules!$B$23,1),2))</f>
        <v/>
      </c>
      <c r="Z130" s="10" t="str">
        <f aca="false">IF(B130="","",ROUND((D130*Rules!$B$16+Rules!$B$17+IF(E130="Legendary",Rules!$B$21,IF(E130="Rare",Rules!$B$20,IF(E130="Uncommon",Rules!$B$19,Rules!$B$18))))*IF(U130="Y",Rules!$B$22,1),2))</f>
        <v/>
      </c>
      <c r="AA130" s="10" t="str">
        <f aca="false">IF(B130="","",Y130-Z130)</f>
        <v/>
      </c>
      <c r="AB130" s="10" t="str">
        <f aca="false">IF(B130="","",IF(E130="Starter",IF(AA130&lt;0,"Starter (under on purpose)","Starter too strong"),IF(ABS(AA130)&lt;=Rules!$B$25,"Balanced",IF(AA130&gt;0,"Over budget","Under budget"))))</f>
        <v/>
      </c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  <c r="G131" s="14"/>
      <c r="H131" s="1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4"/>
      <c r="Y131" s="10" t="str">
        <f aca="false">IF(B131="","",ROUND((I131*Rules!$B$28+J131*Rules!$B$28*Rules!$B$24+K131*Rules!$B$29+L131*Rules!$B$30+M131*Rules!$B$31+N131*Rules!$B$32+(O131*Rules!$B$33+P131*Rules!$B$34+Q131*Rules!$B$35)*IF(R131="Y",Rules!$B$24,1)+S131*Rules!$B$36-T131*Rules!$B$37+IF(V131="Y",Rules!$B$38,0)+W131)*IF(C131="Power",Rules!$B$23,1),2))</f>
        <v/>
      </c>
      <c r="Z131" s="10" t="str">
        <f aca="false">IF(B131="","",ROUND((D131*Rules!$B$16+Rules!$B$17+IF(E131="Legendary",Rules!$B$21,IF(E131="Rare",Rules!$B$20,IF(E131="Uncommon",Rules!$B$19,Rules!$B$18))))*IF(U131="Y",Rules!$B$22,1),2))</f>
        <v/>
      </c>
      <c r="AA131" s="10" t="str">
        <f aca="false">IF(B131="","",Y131-Z131)</f>
        <v/>
      </c>
      <c r="AB131" s="10" t="str">
        <f aca="false">IF(B131="","",IF(E131="Starter",IF(AA131&lt;0,"Starter (under on purpose)","Starter too strong"),IF(ABS(AA131)&lt;=Rules!$B$25,"Balanced",IF(AA131&gt;0,"Over budget","Under budget"))))</f>
        <v/>
      </c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4"/>
      <c r="G132" s="14"/>
      <c r="H132" s="1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4"/>
      <c r="Y132" s="10" t="str">
        <f aca="false">IF(B132="","",ROUND((I132*Rules!$B$28+J132*Rules!$B$28*Rules!$B$24+K132*Rules!$B$29+L132*Rules!$B$30+M132*Rules!$B$31+N132*Rules!$B$32+(O132*Rules!$B$33+P132*Rules!$B$34+Q132*Rules!$B$35)*IF(R132="Y",Rules!$B$24,1)+S132*Rules!$B$36-T132*Rules!$B$37+IF(V132="Y",Rules!$B$38,0)+W132)*IF(C132="Power",Rules!$B$23,1),2))</f>
        <v/>
      </c>
      <c r="Z132" s="10" t="str">
        <f aca="false">IF(B132="","",ROUND((D132*Rules!$B$16+Rules!$B$17+IF(E132="Legendary",Rules!$B$21,IF(E132="Rare",Rules!$B$20,IF(E132="Uncommon",Rules!$B$19,Rules!$B$18))))*IF(U132="Y",Rules!$B$22,1),2))</f>
        <v/>
      </c>
      <c r="AA132" s="10" t="str">
        <f aca="false">IF(B132="","",Y132-Z132)</f>
        <v/>
      </c>
      <c r="AB132" s="10" t="str">
        <f aca="false">IF(B132="","",IF(E132="Starter",IF(AA132&lt;0,"Starter (under on purpose)","Starter too strong"),IF(ABS(AA132)&lt;=Rules!$B$25,"Balanced",IF(AA132&gt;0,"Over budget","Under budget"))))</f>
        <v/>
      </c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  <c r="G133" s="14"/>
      <c r="H133" s="1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4"/>
      <c r="Y133" s="10" t="str">
        <f aca="false">IF(B133="","",ROUND((I133*Rules!$B$28+J133*Rules!$B$28*Rules!$B$24+K133*Rules!$B$29+L133*Rules!$B$30+M133*Rules!$B$31+N133*Rules!$B$32+(O133*Rules!$B$33+P133*Rules!$B$34+Q133*Rules!$B$35)*IF(R133="Y",Rules!$B$24,1)+S133*Rules!$B$36-T133*Rules!$B$37+IF(V133="Y",Rules!$B$38,0)+W133)*IF(C133="Power",Rules!$B$23,1),2))</f>
        <v/>
      </c>
      <c r="Z133" s="10" t="str">
        <f aca="false">IF(B133="","",ROUND((D133*Rules!$B$16+Rules!$B$17+IF(E133="Legendary",Rules!$B$21,IF(E133="Rare",Rules!$B$20,IF(E133="Uncommon",Rules!$B$19,Rules!$B$18))))*IF(U133="Y",Rules!$B$22,1),2))</f>
        <v/>
      </c>
      <c r="AA133" s="10" t="str">
        <f aca="false">IF(B133="","",Y133-Z133)</f>
        <v/>
      </c>
      <c r="AB133" s="10" t="str">
        <f aca="false">IF(B133="","",IF(E133="Starter",IF(AA133&lt;0,"Starter (under on purpose)","Starter too strong"),IF(ABS(AA133)&lt;=Rules!$B$25,"Balanced",IF(AA133&gt;0,"Over budget","Under budget"))))</f>
        <v/>
      </c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4"/>
      <c r="G134" s="14"/>
      <c r="H134" s="1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4"/>
      <c r="Y134" s="10" t="str">
        <f aca="false">IF(B134="","",ROUND((I134*Rules!$B$28+J134*Rules!$B$28*Rules!$B$24+K134*Rules!$B$29+L134*Rules!$B$30+M134*Rules!$B$31+N134*Rules!$B$32+(O134*Rules!$B$33+P134*Rules!$B$34+Q134*Rules!$B$35)*IF(R134="Y",Rules!$B$24,1)+S134*Rules!$B$36-T134*Rules!$B$37+IF(V134="Y",Rules!$B$38,0)+W134)*IF(C134="Power",Rules!$B$23,1),2))</f>
        <v/>
      </c>
      <c r="Z134" s="10" t="str">
        <f aca="false">IF(B134="","",ROUND((D134*Rules!$B$16+Rules!$B$17+IF(E134="Legendary",Rules!$B$21,IF(E134="Rare",Rules!$B$20,IF(E134="Uncommon",Rules!$B$19,Rules!$B$18))))*IF(U134="Y",Rules!$B$22,1),2))</f>
        <v/>
      </c>
      <c r="AA134" s="10" t="str">
        <f aca="false">IF(B134="","",Y134-Z134)</f>
        <v/>
      </c>
      <c r="AB134" s="10" t="str">
        <f aca="false">IF(B134="","",IF(E134="Starter",IF(AA134&lt;0,"Starter (under on purpose)","Starter too strong"),IF(ABS(AA134)&lt;=Rules!$B$25,"Balanced",IF(AA134&gt;0,"Over budget","Under budget"))))</f>
        <v/>
      </c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  <c r="G135" s="14"/>
      <c r="H135" s="1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4"/>
      <c r="Y135" s="10" t="str">
        <f aca="false">IF(B135="","",ROUND((I135*Rules!$B$28+J135*Rules!$B$28*Rules!$B$24+K135*Rules!$B$29+L135*Rules!$B$30+M135*Rules!$B$31+N135*Rules!$B$32+(O135*Rules!$B$33+P135*Rules!$B$34+Q135*Rules!$B$35)*IF(R135="Y",Rules!$B$24,1)+S135*Rules!$B$36-T135*Rules!$B$37+IF(V135="Y",Rules!$B$38,0)+W135)*IF(C135="Power",Rules!$B$23,1),2))</f>
        <v/>
      </c>
      <c r="Z135" s="10" t="str">
        <f aca="false">IF(B135="","",ROUND((D135*Rules!$B$16+Rules!$B$17+IF(E135="Legendary",Rules!$B$21,IF(E135="Rare",Rules!$B$20,IF(E135="Uncommon",Rules!$B$19,Rules!$B$18))))*IF(U135="Y",Rules!$B$22,1),2))</f>
        <v/>
      </c>
      <c r="AA135" s="10" t="str">
        <f aca="false">IF(B135="","",Y135-Z135)</f>
        <v/>
      </c>
      <c r="AB135" s="10" t="str">
        <f aca="false">IF(B135="","",IF(E135="Starter",IF(AA135&lt;0,"Starter (under on purpose)","Starter too strong"),IF(ABS(AA135)&lt;=Rules!$B$25,"Balanced",IF(AA135&gt;0,"Over budget","Under budget"))))</f>
        <v/>
      </c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4"/>
      <c r="G136" s="14"/>
      <c r="H136" s="1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4"/>
      <c r="Y136" s="10" t="str">
        <f aca="false">IF(B136="","",ROUND((I136*Rules!$B$28+J136*Rules!$B$28*Rules!$B$24+K136*Rules!$B$29+L136*Rules!$B$30+M136*Rules!$B$31+N136*Rules!$B$32+(O136*Rules!$B$33+P136*Rules!$B$34+Q136*Rules!$B$35)*IF(R136="Y",Rules!$B$24,1)+S136*Rules!$B$36-T136*Rules!$B$37+IF(V136="Y",Rules!$B$38,0)+W136)*IF(C136="Power",Rules!$B$23,1),2))</f>
        <v/>
      </c>
      <c r="Z136" s="10" t="str">
        <f aca="false">IF(B136="","",ROUND((D136*Rules!$B$16+Rules!$B$17+IF(E136="Legendary",Rules!$B$21,IF(E136="Rare",Rules!$B$20,IF(E136="Uncommon",Rules!$B$19,Rules!$B$18))))*IF(U136="Y",Rules!$B$22,1),2))</f>
        <v/>
      </c>
      <c r="AA136" s="10" t="str">
        <f aca="false">IF(B136="","",Y136-Z136)</f>
        <v/>
      </c>
      <c r="AB136" s="10" t="str">
        <f aca="false">IF(B136="","",IF(E136="Starter",IF(AA136&lt;0,"Starter (under on purpose)","Starter too strong"),IF(ABS(AA136)&lt;=Rules!$B$25,"Balanced",IF(AA136&gt;0,"Over budget","Under budget"))))</f>
        <v/>
      </c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  <c r="G137" s="14"/>
      <c r="H137" s="1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4"/>
      <c r="Y137" s="10" t="str">
        <f aca="false">IF(B137="","",ROUND((I137*Rules!$B$28+J137*Rules!$B$28*Rules!$B$24+K137*Rules!$B$29+L137*Rules!$B$30+M137*Rules!$B$31+N137*Rules!$B$32+(O137*Rules!$B$33+P137*Rules!$B$34+Q137*Rules!$B$35)*IF(R137="Y",Rules!$B$24,1)+S137*Rules!$B$36-T137*Rules!$B$37+IF(V137="Y",Rules!$B$38,0)+W137)*IF(C137="Power",Rules!$B$23,1),2))</f>
        <v/>
      </c>
      <c r="Z137" s="10" t="str">
        <f aca="false">IF(B137="","",ROUND((D137*Rules!$B$16+Rules!$B$17+IF(E137="Legendary",Rules!$B$21,IF(E137="Rare",Rules!$B$20,IF(E137="Uncommon",Rules!$B$19,Rules!$B$18))))*IF(U137="Y",Rules!$B$22,1),2))</f>
        <v/>
      </c>
      <c r="AA137" s="10" t="str">
        <f aca="false">IF(B137="","",Y137-Z137)</f>
        <v/>
      </c>
      <c r="AB137" s="10" t="str">
        <f aca="false">IF(B137="","",IF(E137="Starter",IF(AA137&lt;0,"Starter (under on purpose)","Starter too strong"),IF(ABS(AA137)&lt;=Rules!$B$25,"Balanced",IF(AA137&gt;0,"Over budget","Under budget"))))</f>
        <v/>
      </c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4"/>
      <c r="G138" s="14"/>
      <c r="H138" s="1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4"/>
      <c r="Y138" s="10" t="str">
        <f aca="false">IF(B138="","",ROUND((I138*Rules!$B$28+J138*Rules!$B$28*Rules!$B$24+K138*Rules!$B$29+L138*Rules!$B$30+M138*Rules!$B$31+N138*Rules!$B$32+(O138*Rules!$B$33+P138*Rules!$B$34+Q138*Rules!$B$35)*IF(R138="Y",Rules!$B$24,1)+S138*Rules!$B$36-T138*Rules!$B$37+IF(V138="Y",Rules!$B$38,0)+W138)*IF(C138="Power",Rules!$B$23,1),2))</f>
        <v/>
      </c>
      <c r="Z138" s="10" t="str">
        <f aca="false">IF(B138="","",ROUND((D138*Rules!$B$16+Rules!$B$17+IF(E138="Legendary",Rules!$B$21,IF(E138="Rare",Rules!$B$20,IF(E138="Uncommon",Rules!$B$19,Rules!$B$18))))*IF(U138="Y",Rules!$B$22,1),2))</f>
        <v/>
      </c>
      <c r="AA138" s="10" t="str">
        <f aca="false">IF(B138="","",Y138-Z138)</f>
        <v/>
      </c>
      <c r="AB138" s="10" t="str">
        <f aca="false">IF(B138="","",IF(E138="Starter",IF(AA138&lt;0,"Starter (under on purpose)","Starter too strong"),IF(ABS(AA138)&lt;=Rules!$B$25,"Balanced",IF(AA138&gt;0,"Over budget","Under budget"))))</f>
        <v/>
      </c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  <c r="G139" s="14"/>
      <c r="H139" s="1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4"/>
      <c r="Y139" s="10" t="str">
        <f aca="false">IF(B139="","",ROUND((I139*Rules!$B$28+J139*Rules!$B$28*Rules!$B$24+K139*Rules!$B$29+L139*Rules!$B$30+M139*Rules!$B$31+N139*Rules!$B$32+(O139*Rules!$B$33+P139*Rules!$B$34+Q139*Rules!$B$35)*IF(R139="Y",Rules!$B$24,1)+S139*Rules!$B$36-T139*Rules!$B$37+IF(V139="Y",Rules!$B$38,0)+W139)*IF(C139="Power",Rules!$B$23,1),2))</f>
        <v/>
      </c>
      <c r="Z139" s="10" t="str">
        <f aca="false">IF(B139="","",ROUND((D139*Rules!$B$16+Rules!$B$17+IF(E139="Legendary",Rules!$B$21,IF(E139="Rare",Rules!$B$20,IF(E139="Uncommon",Rules!$B$19,Rules!$B$18))))*IF(U139="Y",Rules!$B$22,1),2))</f>
        <v/>
      </c>
      <c r="AA139" s="10" t="str">
        <f aca="false">IF(B139="","",Y139-Z139)</f>
        <v/>
      </c>
      <c r="AB139" s="10" t="str">
        <f aca="false">IF(B139="","",IF(E139="Starter",IF(AA139&lt;0,"Starter (under on purpose)","Starter too strong"),IF(ABS(AA139)&lt;=Rules!$B$25,"Balanced",IF(AA139&gt;0,"Over budget","Under budget"))))</f>
        <v/>
      </c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4"/>
      <c r="G140" s="14"/>
      <c r="H140" s="1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4"/>
      <c r="Y140" s="10" t="str">
        <f aca="false">IF(B140="","",ROUND((I140*Rules!$B$28+J140*Rules!$B$28*Rules!$B$24+K140*Rules!$B$29+L140*Rules!$B$30+M140*Rules!$B$31+N140*Rules!$B$32+(O140*Rules!$B$33+P140*Rules!$B$34+Q140*Rules!$B$35)*IF(R140="Y",Rules!$B$24,1)+S140*Rules!$B$36-T140*Rules!$B$37+IF(V140="Y",Rules!$B$38,0)+W140)*IF(C140="Power",Rules!$B$23,1),2))</f>
        <v/>
      </c>
      <c r="Z140" s="10" t="str">
        <f aca="false">IF(B140="","",ROUND((D140*Rules!$B$16+Rules!$B$17+IF(E140="Legendary",Rules!$B$21,IF(E140="Rare",Rules!$B$20,IF(E140="Uncommon",Rules!$B$19,Rules!$B$18))))*IF(U140="Y",Rules!$B$22,1),2))</f>
        <v/>
      </c>
      <c r="AA140" s="10" t="str">
        <f aca="false">IF(B140="","",Y140-Z140)</f>
        <v/>
      </c>
      <c r="AB140" s="10" t="str">
        <f aca="false">IF(B140="","",IF(E140="Starter",IF(AA140&lt;0,"Starter (under on purpose)","Starter too strong"),IF(ABS(AA140)&lt;=Rules!$B$25,"Balanced",IF(AA140&gt;0,"Over budget","Under budget"))))</f>
        <v/>
      </c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  <c r="G141" s="14"/>
      <c r="H141" s="1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4"/>
      <c r="Y141" s="10" t="str">
        <f aca="false">IF(B141="","",ROUND((I141*Rules!$B$28+J141*Rules!$B$28*Rules!$B$24+K141*Rules!$B$29+L141*Rules!$B$30+M141*Rules!$B$31+N141*Rules!$B$32+(O141*Rules!$B$33+P141*Rules!$B$34+Q141*Rules!$B$35)*IF(R141="Y",Rules!$B$24,1)+S141*Rules!$B$36-T141*Rules!$B$37+IF(V141="Y",Rules!$B$38,0)+W141)*IF(C141="Power",Rules!$B$23,1),2))</f>
        <v/>
      </c>
      <c r="Z141" s="10" t="str">
        <f aca="false">IF(B141="","",ROUND((D141*Rules!$B$16+Rules!$B$17+IF(E141="Legendary",Rules!$B$21,IF(E141="Rare",Rules!$B$20,IF(E141="Uncommon",Rules!$B$19,Rules!$B$18))))*IF(U141="Y",Rules!$B$22,1),2))</f>
        <v/>
      </c>
      <c r="AA141" s="10" t="str">
        <f aca="false">IF(B141="","",Y141-Z141)</f>
        <v/>
      </c>
      <c r="AB141" s="10" t="str">
        <f aca="false">IF(B141="","",IF(E141="Starter",IF(AA141&lt;0,"Starter (under on purpose)","Starter too strong"),IF(ABS(AA141)&lt;=Rules!$B$25,"Balanced",IF(AA141&gt;0,"Over budget","Under budget"))))</f>
        <v/>
      </c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4"/>
      <c r="G142" s="14"/>
      <c r="H142" s="1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4"/>
      <c r="Y142" s="10" t="str">
        <f aca="false">IF(B142="","",ROUND((I142*Rules!$B$28+J142*Rules!$B$28*Rules!$B$24+K142*Rules!$B$29+L142*Rules!$B$30+M142*Rules!$B$31+N142*Rules!$B$32+(O142*Rules!$B$33+P142*Rules!$B$34+Q142*Rules!$B$35)*IF(R142="Y",Rules!$B$24,1)+S142*Rules!$B$36-T142*Rules!$B$37+IF(V142="Y",Rules!$B$38,0)+W142)*IF(C142="Power",Rules!$B$23,1),2))</f>
        <v/>
      </c>
      <c r="Z142" s="10" t="str">
        <f aca="false">IF(B142="","",ROUND((D142*Rules!$B$16+Rules!$B$17+IF(E142="Legendary",Rules!$B$21,IF(E142="Rare",Rules!$B$20,IF(E142="Uncommon",Rules!$B$19,Rules!$B$18))))*IF(U142="Y",Rules!$B$22,1),2))</f>
        <v/>
      </c>
      <c r="AA142" s="10" t="str">
        <f aca="false">IF(B142="","",Y142-Z142)</f>
        <v/>
      </c>
      <c r="AB142" s="10" t="str">
        <f aca="false">IF(B142="","",IF(E142="Starter",IF(AA142&lt;0,"Starter (under on purpose)","Starter too strong"),IF(ABS(AA142)&lt;=Rules!$B$25,"Balanced",IF(AA142&gt;0,"Over budget","Under budget"))))</f>
        <v/>
      </c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  <c r="G143" s="14"/>
      <c r="H143" s="1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4"/>
      <c r="Y143" s="10" t="str">
        <f aca="false">IF(B143="","",ROUND((I143*Rules!$B$28+J143*Rules!$B$28*Rules!$B$24+K143*Rules!$B$29+L143*Rules!$B$30+M143*Rules!$B$31+N143*Rules!$B$32+(O143*Rules!$B$33+P143*Rules!$B$34+Q143*Rules!$B$35)*IF(R143="Y",Rules!$B$24,1)+S143*Rules!$B$36-T143*Rules!$B$37+IF(V143="Y",Rules!$B$38,0)+W143)*IF(C143="Power",Rules!$B$23,1),2))</f>
        <v/>
      </c>
      <c r="Z143" s="10" t="str">
        <f aca="false">IF(B143="","",ROUND((D143*Rules!$B$16+Rules!$B$17+IF(E143="Legendary",Rules!$B$21,IF(E143="Rare",Rules!$B$20,IF(E143="Uncommon",Rules!$B$19,Rules!$B$18))))*IF(U143="Y",Rules!$B$22,1),2))</f>
        <v/>
      </c>
      <c r="AA143" s="10" t="str">
        <f aca="false">IF(B143="","",Y143-Z143)</f>
        <v/>
      </c>
      <c r="AB143" s="10" t="str">
        <f aca="false">IF(B143="","",IF(E143="Starter",IF(AA143&lt;0,"Starter (under on purpose)","Starter too strong"),IF(ABS(AA143)&lt;=Rules!$B$25,"Balanced",IF(AA143&gt;0,"Over budget","Under budget"))))</f>
        <v/>
      </c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4"/>
      <c r="G144" s="14"/>
      <c r="H144" s="1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4"/>
      <c r="Y144" s="10" t="str">
        <f aca="false">IF(B144="","",ROUND((I144*Rules!$B$28+J144*Rules!$B$28*Rules!$B$24+K144*Rules!$B$29+L144*Rules!$B$30+M144*Rules!$B$31+N144*Rules!$B$32+(O144*Rules!$B$33+P144*Rules!$B$34+Q144*Rules!$B$35)*IF(R144="Y",Rules!$B$24,1)+S144*Rules!$B$36-T144*Rules!$B$37+IF(V144="Y",Rules!$B$38,0)+W144)*IF(C144="Power",Rules!$B$23,1),2))</f>
        <v/>
      </c>
      <c r="Z144" s="10" t="str">
        <f aca="false">IF(B144="","",ROUND((D144*Rules!$B$16+Rules!$B$17+IF(E144="Legendary",Rules!$B$21,IF(E144="Rare",Rules!$B$20,IF(E144="Uncommon",Rules!$B$19,Rules!$B$18))))*IF(U144="Y",Rules!$B$22,1),2))</f>
        <v/>
      </c>
      <c r="AA144" s="10" t="str">
        <f aca="false">IF(B144="","",Y144-Z144)</f>
        <v/>
      </c>
      <c r="AB144" s="10" t="str">
        <f aca="false">IF(B144="","",IF(E144="Starter",IF(AA144&lt;0,"Starter (under on purpose)","Starter too strong"),IF(ABS(AA144)&lt;=Rules!$B$25,"Balanced",IF(AA144&gt;0,"Over budget","Under budget"))))</f>
        <v/>
      </c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  <c r="G145" s="14"/>
      <c r="H145" s="1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4"/>
      <c r="Y145" s="10" t="str">
        <f aca="false">IF(B145="","",ROUND((I145*Rules!$B$28+J145*Rules!$B$28*Rules!$B$24+K145*Rules!$B$29+L145*Rules!$B$30+M145*Rules!$B$31+N145*Rules!$B$32+(O145*Rules!$B$33+P145*Rules!$B$34+Q145*Rules!$B$35)*IF(R145="Y",Rules!$B$24,1)+S145*Rules!$B$36-T145*Rules!$B$37+IF(V145="Y",Rules!$B$38,0)+W145)*IF(C145="Power",Rules!$B$23,1),2))</f>
        <v/>
      </c>
      <c r="Z145" s="10" t="str">
        <f aca="false">IF(B145="","",ROUND((D145*Rules!$B$16+Rules!$B$17+IF(E145="Legendary",Rules!$B$21,IF(E145="Rare",Rules!$B$20,IF(E145="Uncommon",Rules!$B$19,Rules!$B$18))))*IF(U145="Y",Rules!$B$22,1),2))</f>
        <v/>
      </c>
      <c r="AA145" s="10" t="str">
        <f aca="false">IF(B145="","",Y145-Z145)</f>
        <v/>
      </c>
      <c r="AB145" s="10" t="str">
        <f aca="false">IF(B145="","",IF(E145="Starter",IF(AA145&lt;0,"Starter (under on purpose)","Starter too strong"),IF(ABS(AA145)&lt;=Rules!$B$25,"Balanced",IF(AA145&gt;0,"Over budget","Under budget"))))</f>
        <v/>
      </c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4"/>
      <c r="G146" s="14"/>
      <c r="H146" s="1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4"/>
      <c r="Y146" s="10" t="str">
        <f aca="false">IF(B146="","",ROUND((I146*Rules!$B$28+J146*Rules!$B$28*Rules!$B$24+K146*Rules!$B$29+L146*Rules!$B$30+M146*Rules!$B$31+N146*Rules!$B$32+(O146*Rules!$B$33+P146*Rules!$B$34+Q146*Rules!$B$35)*IF(R146="Y",Rules!$B$24,1)+S146*Rules!$B$36-T146*Rules!$B$37+IF(V146="Y",Rules!$B$38,0)+W146)*IF(C146="Power",Rules!$B$23,1),2))</f>
        <v/>
      </c>
      <c r="Z146" s="10" t="str">
        <f aca="false">IF(B146="","",ROUND((D146*Rules!$B$16+Rules!$B$17+IF(E146="Legendary",Rules!$B$21,IF(E146="Rare",Rules!$B$20,IF(E146="Uncommon",Rules!$B$19,Rules!$B$18))))*IF(U146="Y",Rules!$B$22,1),2))</f>
        <v/>
      </c>
      <c r="AA146" s="10" t="str">
        <f aca="false">IF(B146="","",Y146-Z146)</f>
        <v/>
      </c>
      <c r="AB146" s="10" t="str">
        <f aca="false">IF(B146="","",IF(E146="Starter",IF(AA146&lt;0,"Starter (under on purpose)","Starter too strong"),IF(ABS(AA146)&lt;=Rules!$B$25,"Balanced",IF(AA146&gt;0,"Over budget","Under budget"))))</f>
        <v/>
      </c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  <c r="G147" s="14"/>
      <c r="H147" s="1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4"/>
      <c r="Y147" s="10" t="str">
        <f aca="false">IF(B147="","",ROUND((I147*Rules!$B$28+J147*Rules!$B$28*Rules!$B$24+K147*Rules!$B$29+L147*Rules!$B$30+M147*Rules!$B$31+N147*Rules!$B$32+(O147*Rules!$B$33+P147*Rules!$B$34+Q147*Rules!$B$35)*IF(R147="Y",Rules!$B$24,1)+S147*Rules!$B$36-T147*Rules!$B$37+IF(V147="Y",Rules!$B$38,0)+W147)*IF(C147="Power",Rules!$B$23,1),2))</f>
        <v/>
      </c>
      <c r="Z147" s="10" t="str">
        <f aca="false">IF(B147="","",ROUND((D147*Rules!$B$16+Rules!$B$17+IF(E147="Legendary",Rules!$B$21,IF(E147="Rare",Rules!$B$20,IF(E147="Uncommon",Rules!$B$19,Rules!$B$18))))*IF(U147="Y",Rules!$B$22,1),2))</f>
        <v/>
      </c>
      <c r="AA147" s="10" t="str">
        <f aca="false">IF(B147="","",Y147-Z147)</f>
        <v/>
      </c>
      <c r="AB147" s="10" t="str">
        <f aca="false">IF(B147="","",IF(E147="Starter",IF(AA147&lt;0,"Starter (under on purpose)","Starter too strong"),IF(ABS(AA147)&lt;=Rules!$B$25,"Balanced",IF(AA147&gt;0,"Over budget","Under budget"))))</f>
        <v/>
      </c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4"/>
      <c r="G148" s="14"/>
      <c r="H148" s="1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4"/>
      <c r="Y148" s="10" t="str">
        <f aca="false">IF(B148="","",ROUND((I148*Rules!$B$28+J148*Rules!$B$28*Rules!$B$24+K148*Rules!$B$29+L148*Rules!$B$30+M148*Rules!$B$31+N148*Rules!$B$32+(O148*Rules!$B$33+P148*Rules!$B$34+Q148*Rules!$B$35)*IF(R148="Y",Rules!$B$24,1)+S148*Rules!$B$36-T148*Rules!$B$37+IF(V148="Y",Rules!$B$38,0)+W148)*IF(C148="Power",Rules!$B$23,1),2))</f>
        <v/>
      </c>
      <c r="Z148" s="10" t="str">
        <f aca="false">IF(B148="","",ROUND((D148*Rules!$B$16+Rules!$B$17+IF(E148="Legendary",Rules!$B$21,IF(E148="Rare",Rules!$B$20,IF(E148="Uncommon",Rules!$B$19,Rules!$B$18))))*IF(U148="Y",Rules!$B$22,1),2))</f>
        <v/>
      </c>
      <c r="AA148" s="10" t="str">
        <f aca="false">IF(B148="","",Y148-Z148)</f>
        <v/>
      </c>
      <c r="AB148" s="10" t="str">
        <f aca="false">IF(B148="","",IF(E148="Starter",IF(AA148&lt;0,"Starter (under on purpose)","Starter too strong"),IF(ABS(AA148)&lt;=Rules!$B$25,"Balanced",IF(AA148&gt;0,"Over budget","Under budget"))))</f>
        <v/>
      </c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  <c r="G149" s="14"/>
      <c r="H149" s="1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4"/>
      <c r="Y149" s="10" t="str">
        <f aca="false">IF(B149="","",ROUND((I149*Rules!$B$28+J149*Rules!$B$28*Rules!$B$24+K149*Rules!$B$29+L149*Rules!$B$30+M149*Rules!$B$31+N149*Rules!$B$32+(O149*Rules!$B$33+P149*Rules!$B$34+Q149*Rules!$B$35)*IF(R149="Y",Rules!$B$24,1)+S149*Rules!$B$36-T149*Rules!$B$37+IF(V149="Y",Rules!$B$38,0)+W149)*IF(C149="Power",Rules!$B$23,1),2))</f>
        <v/>
      </c>
      <c r="Z149" s="10" t="str">
        <f aca="false">IF(B149="","",ROUND((D149*Rules!$B$16+Rules!$B$17+IF(E149="Legendary",Rules!$B$21,IF(E149="Rare",Rules!$B$20,IF(E149="Uncommon",Rules!$B$19,Rules!$B$18))))*IF(U149="Y",Rules!$B$22,1),2))</f>
        <v/>
      </c>
      <c r="AA149" s="10" t="str">
        <f aca="false">IF(B149="","",Y149-Z149)</f>
        <v/>
      </c>
      <c r="AB149" s="10" t="str">
        <f aca="false">IF(B149="","",IF(E149="Starter",IF(AA149&lt;0,"Starter (under on purpose)","Starter too strong"),IF(ABS(AA149)&lt;=Rules!$B$25,"Balanced",IF(AA149&gt;0,"Over budget","Under budget"))))</f>
        <v/>
      </c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4"/>
      <c r="G150" s="14"/>
      <c r="H150" s="1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4"/>
      <c r="Y150" s="10" t="str">
        <f aca="false">IF(B150="","",ROUND((I150*Rules!$B$28+J150*Rules!$B$28*Rules!$B$24+K150*Rules!$B$29+L150*Rules!$B$30+M150*Rules!$B$31+N150*Rules!$B$32+(O150*Rules!$B$33+P150*Rules!$B$34+Q150*Rules!$B$35)*IF(R150="Y",Rules!$B$24,1)+S150*Rules!$B$36-T150*Rules!$B$37+IF(V150="Y",Rules!$B$38,0)+W150)*IF(C150="Power",Rules!$B$23,1),2))</f>
        <v/>
      </c>
      <c r="Z150" s="10" t="str">
        <f aca="false">IF(B150="","",ROUND((D150*Rules!$B$16+Rules!$B$17+IF(E150="Legendary",Rules!$B$21,IF(E150="Rare",Rules!$B$20,IF(E150="Uncommon",Rules!$B$19,Rules!$B$18))))*IF(U150="Y",Rules!$B$22,1),2))</f>
        <v/>
      </c>
      <c r="AA150" s="10" t="str">
        <f aca="false">IF(B150="","",Y150-Z150)</f>
        <v/>
      </c>
      <c r="AB150" s="10" t="str">
        <f aca="false">IF(B150="","",IF(E150="Starter",IF(AA150&lt;0,"Starter (under on purpose)","Starter too strong"),IF(ABS(AA150)&lt;=Rules!$B$25,"Balanced",IF(AA150&gt;0,"Over budget","Under budget"))))</f>
        <v/>
      </c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  <c r="G151" s="14"/>
      <c r="H151" s="1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4"/>
      <c r="Y151" s="10" t="str">
        <f aca="false">IF(B151="","",ROUND((I151*Rules!$B$28+J151*Rules!$B$28*Rules!$B$24+K151*Rules!$B$29+L151*Rules!$B$30+M151*Rules!$B$31+N151*Rules!$B$32+(O151*Rules!$B$33+P151*Rules!$B$34+Q151*Rules!$B$35)*IF(R151="Y",Rules!$B$24,1)+S151*Rules!$B$36-T151*Rules!$B$37+IF(V151="Y",Rules!$B$38,0)+W151)*IF(C151="Power",Rules!$B$23,1),2))</f>
        <v/>
      </c>
      <c r="Z151" s="10" t="str">
        <f aca="false">IF(B151="","",ROUND((D151*Rules!$B$16+Rules!$B$17+IF(E151="Legendary",Rules!$B$21,IF(E151="Rare",Rules!$B$20,IF(E151="Uncommon",Rules!$B$19,Rules!$B$18))))*IF(U151="Y",Rules!$B$22,1),2))</f>
        <v/>
      </c>
      <c r="AA151" s="10" t="str">
        <f aca="false">IF(B151="","",Y151-Z151)</f>
        <v/>
      </c>
      <c r="AB151" s="10" t="str">
        <f aca="false">IF(B151="","",IF(E151="Starter",IF(AA151&lt;0,"Starter (under on purpose)","Starter too strong"),IF(ABS(AA151)&lt;=Rules!$B$25,"Balanced",IF(AA151&gt;0,"Over budget","Under budget"))))</f>
        <v/>
      </c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4"/>
      <c r="G152" s="14"/>
      <c r="H152" s="1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4"/>
      <c r="Y152" s="10" t="str">
        <f aca="false">IF(B152="","",ROUND((I152*Rules!$B$28+J152*Rules!$B$28*Rules!$B$24+K152*Rules!$B$29+L152*Rules!$B$30+M152*Rules!$B$31+N152*Rules!$B$32+(O152*Rules!$B$33+P152*Rules!$B$34+Q152*Rules!$B$35)*IF(R152="Y",Rules!$B$24,1)+S152*Rules!$B$36-T152*Rules!$B$37+IF(V152="Y",Rules!$B$38,0)+W152)*IF(C152="Power",Rules!$B$23,1),2))</f>
        <v/>
      </c>
      <c r="Z152" s="10" t="str">
        <f aca="false">IF(B152="","",ROUND((D152*Rules!$B$16+Rules!$B$17+IF(E152="Legendary",Rules!$B$21,IF(E152="Rare",Rules!$B$20,IF(E152="Uncommon",Rules!$B$19,Rules!$B$18))))*IF(U152="Y",Rules!$B$22,1),2))</f>
        <v/>
      </c>
      <c r="AA152" s="10" t="str">
        <f aca="false">IF(B152="","",Y152-Z152)</f>
        <v/>
      </c>
      <c r="AB152" s="10" t="str">
        <f aca="false">IF(B152="","",IF(E152="Starter",IF(AA152&lt;0,"Starter (under on purpose)","Starter too strong"),IF(ABS(AA152)&lt;=Rules!$B$25,"Balanced",IF(AA152&gt;0,"Over budget","Under budget"))))</f>
        <v/>
      </c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  <c r="G153" s="14"/>
      <c r="H153" s="1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4"/>
      <c r="Y153" s="10" t="str">
        <f aca="false">IF(B153="","",ROUND((I153*Rules!$B$28+J153*Rules!$B$28*Rules!$B$24+K153*Rules!$B$29+L153*Rules!$B$30+M153*Rules!$B$31+N153*Rules!$B$32+(O153*Rules!$B$33+P153*Rules!$B$34+Q153*Rules!$B$35)*IF(R153="Y",Rules!$B$24,1)+S153*Rules!$B$36-T153*Rules!$B$37+IF(V153="Y",Rules!$B$38,0)+W153)*IF(C153="Power",Rules!$B$23,1),2))</f>
        <v/>
      </c>
      <c r="Z153" s="10" t="str">
        <f aca="false">IF(B153="","",ROUND((D153*Rules!$B$16+Rules!$B$17+IF(E153="Legendary",Rules!$B$21,IF(E153="Rare",Rules!$B$20,IF(E153="Uncommon",Rules!$B$19,Rules!$B$18))))*IF(U153="Y",Rules!$B$22,1),2))</f>
        <v/>
      </c>
      <c r="AA153" s="10" t="str">
        <f aca="false">IF(B153="","",Y153-Z153)</f>
        <v/>
      </c>
      <c r="AB153" s="10" t="str">
        <f aca="false">IF(B153="","",IF(E153="Starter",IF(AA153&lt;0,"Starter (under on purpose)","Starter too strong"),IF(ABS(AA153)&lt;=Rules!$B$25,"Balanced",IF(AA153&gt;0,"Over budget","Under budget"))))</f>
        <v/>
      </c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4"/>
      <c r="G154" s="14"/>
      <c r="H154" s="1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4"/>
      <c r="Y154" s="10" t="str">
        <f aca="false">IF(B154="","",ROUND((I154*Rules!$B$28+J154*Rules!$B$28*Rules!$B$24+K154*Rules!$B$29+L154*Rules!$B$30+M154*Rules!$B$31+N154*Rules!$B$32+(O154*Rules!$B$33+P154*Rules!$B$34+Q154*Rules!$B$35)*IF(R154="Y",Rules!$B$24,1)+S154*Rules!$B$36-T154*Rules!$B$37+IF(V154="Y",Rules!$B$38,0)+W154)*IF(C154="Power",Rules!$B$23,1),2))</f>
        <v/>
      </c>
      <c r="Z154" s="10" t="str">
        <f aca="false">IF(B154="","",ROUND((D154*Rules!$B$16+Rules!$B$17+IF(E154="Legendary",Rules!$B$21,IF(E154="Rare",Rules!$B$20,IF(E154="Uncommon",Rules!$B$19,Rules!$B$18))))*IF(U154="Y",Rules!$B$22,1),2))</f>
        <v/>
      </c>
      <c r="AA154" s="10" t="str">
        <f aca="false">IF(B154="","",Y154-Z154)</f>
        <v/>
      </c>
      <c r="AB154" s="10" t="str">
        <f aca="false">IF(B154="","",IF(E154="Starter",IF(AA154&lt;0,"Starter (under on purpose)","Starter too strong"),IF(ABS(AA154)&lt;=Rules!$B$25,"Balanced",IF(AA154&gt;0,"Over budget","Under budget"))))</f>
        <v/>
      </c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  <c r="G155" s="14"/>
      <c r="H155" s="1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4"/>
      <c r="Y155" s="10" t="str">
        <f aca="false">IF(B155="","",ROUND((I155*Rules!$B$28+J155*Rules!$B$28*Rules!$B$24+K155*Rules!$B$29+L155*Rules!$B$30+M155*Rules!$B$31+N155*Rules!$B$32+(O155*Rules!$B$33+P155*Rules!$B$34+Q155*Rules!$B$35)*IF(R155="Y",Rules!$B$24,1)+S155*Rules!$B$36-T155*Rules!$B$37+IF(V155="Y",Rules!$B$38,0)+W155)*IF(C155="Power",Rules!$B$23,1),2))</f>
        <v/>
      </c>
      <c r="Z155" s="10" t="str">
        <f aca="false">IF(B155="","",ROUND((D155*Rules!$B$16+Rules!$B$17+IF(E155="Legendary",Rules!$B$21,IF(E155="Rare",Rules!$B$20,IF(E155="Uncommon",Rules!$B$19,Rules!$B$18))))*IF(U155="Y",Rules!$B$22,1),2))</f>
        <v/>
      </c>
      <c r="AA155" s="10" t="str">
        <f aca="false">IF(B155="","",Y155-Z155)</f>
        <v/>
      </c>
      <c r="AB155" s="10" t="str">
        <f aca="false">IF(B155="","",IF(E155="Starter",IF(AA155&lt;0,"Starter (under on purpose)","Starter too strong"),IF(ABS(AA155)&lt;=Rules!$B$25,"Balanced",IF(AA155&gt;0,"Over budget","Under budget"))))</f>
        <v/>
      </c>
    </row>
    <row r="156" customFormat="false" ht="15" hidden="false" customHeight="false" outlineLevel="0" collapsed="false">
      <c r="A156" s="14"/>
      <c r="B156" s="14"/>
      <c r="C156" s="14"/>
      <c r="D156" s="14"/>
      <c r="E156" s="14"/>
      <c r="F156" s="14"/>
      <c r="G156" s="14"/>
      <c r="H156" s="1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4"/>
      <c r="Y156" s="10" t="str">
        <f aca="false">IF(B156="","",ROUND((I156*Rules!$B$28+J156*Rules!$B$28*Rules!$B$24+K156*Rules!$B$29+L156*Rules!$B$30+M156*Rules!$B$31+N156*Rules!$B$32+(O156*Rules!$B$33+P156*Rules!$B$34+Q156*Rules!$B$35)*IF(R156="Y",Rules!$B$24,1)+S156*Rules!$B$36-T156*Rules!$B$37+IF(V156="Y",Rules!$B$38,0)+W156)*IF(C156="Power",Rules!$B$23,1),2))</f>
        <v/>
      </c>
      <c r="Z156" s="10" t="str">
        <f aca="false">IF(B156="","",ROUND((D156*Rules!$B$16+Rules!$B$17+IF(E156="Legendary",Rules!$B$21,IF(E156="Rare",Rules!$B$20,IF(E156="Uncommon",Rules!$B$19,Rules!$B$18))))*IF(U156="Y",Rules!$B$22,1),2))</f>
        <v/>
      </c>
      <c r="AA156" s="10" t="str">
        <f aca="false">IF(B156="","",Y156-Z156)</f>
        <v/>
      </c>
      <c r="AB156" s="10" t="str">
        <f aca="false">IF(B156="","",IF(E156="Starter",IF(AA156&lt;0,"Starter (under on purpose)","Starter too strong"),IF(ABS(AA156)&lt;=Rules!$B$25,"Balanced",IF(AA156&gt;0,"Over budget","Under budget"))))</f>
        <v/>
      </c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4"/>
      <c r="G157" s="14"/>
      <c r="H157" s="1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4"/>
      <c r="Y157" s="10" t="str">
        <f aca="false">IF(B157="","",ROUND((I157*Rules!$B$28+J157*Rules!$B$28*Rules!$B$24+K157*Rules!$B$29+L157*Rules!$B$30+M157*Rules!$B$31+N157*Rules!$B$32+(O157*Rules!$B$33+P157*Rules!$B$34+Q157*Rules!$B$35)*IF(R157="Y",Rules!$B$24,1)+S157*Rules!$B$36-T157*Rules!$B$37+IF(V157="Y",Rules!$B$38,0)+W157)*IF(C157="Power",Rules!$B$23,1),2))</f>
        <v/>
      </c>
      <c r="Z157" s="10" t="str">
        <f aca="false">IF(B157="","",ROUND((D157*Rules!$B$16+Rules!$B$17+IF(E157="Legendary",Rules!$B$21,IF(E157="Rare",Rules!$B$20,IF(E157="Uncommon",Rules!$B$19,Rules!$B$18))))*IF(U157="Y",Rules!$B$22,1),2))</f>
        <v/>
      </c>
      <c r="AA157" s="10" t="str">
        <f aca="false">IF(B157="","",Y157-Z157)</f>
        <v/>
      </c>
      <c r="AB157" s="10" t="str">
        <f aca="false">IF(B157="","",IF(E157="Starter",IF(AA157&lt;0,"Starter (under on purpose)","Starter too strong"),IF(ABS(AA157)&lt;=Rules!$B$25,"Balanced",IF(AA157&gt;0,"Over budget","Under budget"))))</f>
        <v/>
      </c>
    </row>
    <row r="158" customFormat="false" ht="15" hidden="false" customHeight="false" outlineLevel="0" collapsed="false">
      <c r="A158" s="14"/>
      <c r="B158" s="14"/>
      <c r="C158" s="14"/>
      <c r="D158" s="14"/>
      <c r="E158" s="14"/>
      <c r="F158" s="14"/>
      <c r="G158" s="14"/>
      <c r="H158" s="1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4"/>
      <c r="Y158" s="10" t="str">
        <f aca="false">IF(B158="","",ROUND((I158*Rules!$B$28+J158*Rules!$B$28*Rules!$B$24+K158*Rules!$B$29+L158*Rules!$B$30+M158*Rules!$B$31+N158*Rules!$B$32+(O158*Rules!$B$33+P158*Rules!$B$34+Q158*Rules!$B$35)*IF(R158="Y",Rules!$B$24,1)+S158*Rules!$B$36-T158*Rules!$B$37+IF(V158="Y",Rules!$B$38,0)+W158)*IF(C158="Power",Rules!$B$23,1),2))</f>
        <v/>
      </c>
      <c r="Z158" s="10" t="str">
        <f aca="false">IF(B158="","",ROUND((D158*Rules!$B$16+Rules!$B$17+IF(E158="Legendary",Rules!$B$21,IF(E158="Rare",Rules!$B$20,IF(E158="Uncommon",Rules!$B$19,Rules!$B$18))))*IF(U158="Y",Rules!$B$22,1),2))</f>
        <v/>
      </c>
      <c r="AA158" s="10" t="str">
        <f aca="false">IF(B158="","",Y158-Z158)</f>
        <v/>
      </c>
      <c r="AB158" s="10" t="str">
        <f aca="false">IF(B158="","",IF(E158="Starter",IF(AA158&lt;0,"Starter (under on purpose)","Starter too strong"),IF(ABS(AA158)&lt;=Rules!$B$25,"Balanced",IF(AA158&gt;0,"Over budget","Under budget"))))</f>
        <v/>
      </c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4"/>
      <c r="G159" s="14"/>
      <c r="H159" s="1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4"/>
      <c r="Y159" s="10" t="str">
        <f aca="false">IF(B159="","",ROUND((I159*Rules!$B$28+J159*Rules!$B$28*Rules!$B$24+K159*Rules!$B$29+L159*Rules!$B$30+M159*Rules!$B$31+N159*Rules!$B$32+(O159*Rules!$B$33+P159*Rules!$B$34+Q159*Rules!$B$35)*IF(R159="Y",Rules!$B$24,1)+S159*Rules!$B$36-T159*Rules!$B$37+IF(V159="Y",Rules!$B$38,0)+W159)*IF(C159="Power",Rules!$B$23,1),2))</f>
        <v/>
      </c>
      <c r="Z159" s="10" t="str">
        <f aca="false">IF(B159="","",ROUND((D159*Rules!$B$16+Rules!$B$17+IF(E159="Legendary",Rules!$B$21,IF(E159="Rare",Rules!$B$20,IF(E159="Uncommon",Rules!$B$19,Rules!$B$18))))*IF(U159="Y",Rules!$B$22,1),2))</f>
        <v/>
      </c>
      <c r="AA159" s="10" t="str">
        <f aca="false">IF(B159="","",Y159-Z159)</f>
        <v/>
      </c>
      <c r="AB159" s="10" t="str">
        <f aca="false">IF(B159="","",IF(E159="Starter",IF(AA159&lt;0,"Starter (under on purpose)","Starter too strong"),IF(ABS(AA159)&lt;=Rules!$B$25,"Balanced",IF(AA159&gt;0,"Over budget","Under budget"))))</f>
        <v/>
      </c>
    </row>
  </sheetData>
  <autoFilter ref="A1:AB129"/>
  <conditionalFormatting sqref="AB2:AB400">
    <cfRule type="expression" priority="2" aboveAverage="0" equalAverage="0" bottom="0" percent="0" rank="0" text="" dxfId="6">
      <formula>AB2="Balanced"</formula>
    </cfRule>
    <cfRule type="expression" priority="3" aboveAverage="0" equalAverage="0" bottom="0" percent="0" rank="0" text="" dxfId="7">
      <formula>OR(AB2="Over budget",AB2="Starter too strong")</formula>
    </cfRule>
    <cfRule type="expression" priority="4" aboveAverage="0" equalAverage="0" bottom="0" percent="0" rank="0" text="" dxfId="8">
      <formula>AB2="Under budget"</formula>
    </cfRule>
  </conditionalFormatting>
  <dataValidations count="4">
    <dataValidation allowBlank="true" errorStyle="stop" operator="between" showDropDown="false" showErrorMessage="false" showInputMessage="false" sqref="C2:C400" type="list">
      <formula1>"Attack,Skill,Power"</formula1>
      <formula2>0</formula2>
    </dataValidation>
    <dataValidation allowBlank="true" errorStyle="stop" operator="between" showDropDown="false" showErrorMessage="false" showInputMessage="false" sqref="E2:E400" type="list">
      <formula1>"Starter,Common,Uncommon,Rare,Legendary"</formula1>
      <formula2>0</formula2>
    </dataValidation>
    <dataValidation allowBlank="true" errorStyle="stop" operator="between" showDropDown="false" showErrorMessage="false" showInputMessage="false" sqref="F2:F400" type="list">
      <formula1>"Neutral,Brawler,Guardian,Venom,Tactician"</formula1>
      <formula2>0</formula2>
    </dataValidation>
    <dataValidation allowBlank="true" errorStyle="stop" operator="between" showDropDown="false" showErrorMessage="false" showInputMessage="false" sqref="R2:R400 U2:V400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3" t="s">
        <v>660</v>
      </c>
    </row>
    <row r="3" customFormat="false" ht="15" hidden="false" customHeight="false" outlineLevel="0" collapsed="false">
      <c r="A3" s="15" t="s">
        <v>71</v>
      </c>
      <c r="B3" s="15" t="s">
        <v>92</v>
      </c>
      <c r="C3" s="15" t="s">
        <v>110</v>
      </c>
      <c r="D3" s="15" t="s">
        <v>345</v>
      </c>
      <c r="E3" s="15" t="s">
        <v>521</v>
      </c>
      <c r="F3" s="15" t="s">
        <v>621</v>
      </c>
      <c r="G3" s="15" t="s">
        <v>661</v>
      </c>
    </row>
    <row r="4" customFormat="false" ht="15" hidden="false" customHeight="false" outlineLevel="0" collapsed="false">
      <c r="A4" s="6" t="s">
        <v>93</v>
      </c>
      <c r="B4" s="6" t="n">
        <f aca="false">COUNTIFS(Cards!$F$2:$F$400,$A4,Cards!$E$2:$E$400,B$3)</f>
        <v>3</v>
      </c>
      <c r="C4" s="6" t="n">
        <f aca="false">COUNTIFS(Cards!$F$2:$F$400,$A4,Cards!$E$2:$E$400,C$3)</f>
        <v>7</v>
      </c>
      <c r="D4" s="6" t="n">
        <f aca="false">COUNTIFS(Cards!$F$2:$F$400,$A4,Cards!$E$2:$E$400,D$3)</f>
        <v>3</v>
      </c>
      <c r="E4" s="6" t="n">
        <f aca="false">COUNTIFS(Cards!$F$2:$F$400,$A4,Cards!$E$2:$E$400,E$3)</f>
        <v>3</v>
      </c>
      <c r="F4" s="6" t="n">
        <f aca="false">COUNTIFS(Cards!$F$2:$F$400,$A4,Cards!$E$2:$E$400,F$3)</f>
        <v>0</v>
      </c>
      <c r="G4" s="6" t="n">
        <f aca="false">SUM(B4:F4)</f>
        <v>16</v>
      </c>
    </row>
    <row r="5" customFormat="false" ht="15" hidden="false" customHeight="false" outlineLevel="0" collapsed="false">
      <c r="A5" s="6" t="s">
        <v>114</v>
      </c>
      <c r="B5" s="6" t="n">
        <f aca="false">COUNTIFS(Cards!$F$2:$F$400,$A5,Cards!$E$2:$E$400,B$3)</f>
        <v>0</v>
      </c>
      <c r="C5" s="6" t="n">
        <f aca="false">COUNTIFS(Cards!$F$2:$F$400,$A5,Cards!$E$2:$E$400,C$3)</f>
        <v>12</v>
      </c>
      <c r="D5" s="6" t="n">
        <f aca="false">COUNTIFS(Cards!$F$2:$F$400,$A5,Cards!$E$2:$E$400,D$3)</f>
        <v>9</v>
      </c>
      <c r="E5" s="6" t="n">
        <f aca="false">COUNTIFS(Cards!$F$2:$F$400,$A5,Cards!$E$2:$E$400,E$3)</f>
        <v>5</v>
      </c>
      <c r="F5" s="6" t="n">
        <f aca="false">COUNTIFS(Cards!$F$2:$F$400,$A5,Cards!$E$2:$E$400,F$3)</f>
        <v>2</v>
      </c>
      <c r="G5" s="6" t="n">
        <f aca="false">SUM(B5:F5)</f>
        <v>28</v>
      </c>
    </row>
    <row r="6" customFormat="false" ht="15" hidden="false" customHeight="false" outlineLevel="0" collapsed="false">
      <c r="A6" s="6" t="s">
        <v>138</v>
      </c>
      <c r="B6" s="6" t="n">
        <f aca="false">COUNTIFS(Cards!$F$2:$F$400,$A6,Cards!$E$2:$E$400,B$3)</f>
        <v>0</v>
      </c>
      <c r="C6" s="6" t="n">
        <f aca="false">COUNTIFS(Cards!$F$2:$F$400,$A6,Cards!$E$2:$E$400,C$3)</f>
        <v>13</v>
      </c>
      <c r="D6" s="6" t="n">
        <f aca="false">COUNTIFS(Cards!$F$2:$F$400,$A6,Cards!$E$2:$E$400,D$3)</f>
        <v>9</v>
      </c>
      <c r="E6" s="6" t="n">
        <f aca="false">COUNTIFS(Cards!$F$2:$F$400,$A6,Cards!$E$2:$E$400,E$3)</f>
        <v>4</v>
      </c>
      <c r="F6" s="6" t="n">
        <f aca="false">COUNTIFS(Cards!$F$2:$F$400,$A6,Cards!$E$2:$E$400,F$3)</f>
        <v>2</v>
      </c>
      <c r="G6" s="6" t="n">
        <f aca="false">SUM(B6:F6)</f>
        <v>28</v>
      </c>
    </row>
    <row r="7" customFormat="false" ht="15" hidden="false" customHeight="false" outlineLevel="0" collapsed="false">
      <c r="A7" s="6" t="s">
        <v>133</v>
      </c>
      <c r="B7" s="6" t="n">
        <f aca="false">COUNTIFS(Cards!$F$2:$F$400,$A7,Cards!$E$2:$E$400,B$3)</f>
        <v>0</v>
      </c>
      <c r="C7" s="6" t="n">
        <f aca="false">COUNTIFS(Cards!$F$2:$F$400,$A7,Cards!$E$2:$E$400,C$3)</f>
        <v>11</v>
      </c>
      <c r="D7" s="6" t="n">
        <f aca="false">COUNTIFS(Cards!$F$2:$F$400,$A7,Cards!$E$2:$E$400,D$3)</f>
        <v>10</v>
      </c>
      <c r="E7" s="6" t="n">
        <f aca="false">COUNTIFS(Cards!$F$2:$F$400,$A7,Cards!$E$2:$E$400,E$3)</f>
        <v>5</v>
      </c>
      <c r="F7" s="6" t="n">
        <f aca="false">COUNTIFS(Cards!$F$2:$F$400,$A7,Cards!$E$2:$E$400,F$3)</f>
        <v>2</v>
      </c>
      <c r="G7" s="6" t="n">
        <f aca="false">SUM(B7:F7)</f>
        <v>28</v>
      </c>
    </row>
    <row r="8" customFormat="false" ht="15" hidden="false" customHeight="false" outlineLevel="0" collapsed="false">
      <c r="A8" s="6" t="s">
        <v>147</v>
      </c>
      <c r="B8" s="6" t="n">
        <f aca="false">COUNTIFS(Cards!$F$2:$F$400,$A8,Cards!$E$2:$E$400,B$3)</f>
        <v>0</v>
      </c>
      <c r="C8" s="6" t="n">
        <f aca="false">COUNTIFS(Cards!$F$2:$F$400,$A8,Cards!$E$2:$E$400,C$3)</f>
        <v>12</v>
      </c>
      <c r="D8" s="6" t="n">
        <f aca="false">COUNTIFS(Cards!$F$2:$F$400,$A8,Cards!$E$2:$E$400,D$3)</f>
        <v>9</v>
      </c>
      <c r="E8" s="6" t="n">
        <f aca="false">COUNTIFS(Cards!$F$2:$F$400,$A8,Cards!$E$2:$E$400,E$3)</f>
        <v>5</v>
      </c>
      <c r="F8" s="6" t="n">
        <f aca="false">COUNTIFS(Cards!$F$2:$F$400,$A8,Cards!$E$2:$E$400,F$3)</f>
        <v>2</v>
      </c>
      <c r="G8" s="6" t="n">
        <f aca="false">SUM(B8:F8)</f>
        <v>28</v>
      </c>
    </row>
    <row r="9" customFormat="false" ht="15" hidden="false" customHeight="false" outlineLevel="0" collapsed="false">
      <c r="A9" s="15" t="s">
        <v>661</v>
      </c>
      <c r="B9" s="15" t="n">
        <f aca="false">SUM(B4:B8)</f>
        <v>3</v>
      </c>
      <c r="C9" s="15" t="n">
        <f aca="false">SUM(C4:C8)</f>
        <v>55</v>
      </c>
      <c r="D9" s="15" t="n">
        <f aca="false">SUM(D4:D8)</f>
        <v>40</v>
      </c>
      <c r="E9" s="15" t="n">
        <f aca="false">SUM(E4:E8)</f>
        <v>22</v>
      </c>
      <c r="F9" s="15" t="n">
        <f aca="false">SUM(F4:F8)</f>
        <v>8</v>
      </c>
      <c r="G9" s="15" t="n">
        <f aca="false">SUM(G4:G8)</f>
        <v>128</v>
      </c>
    </row>
    <row r="11" customFormat="false" ht="15" hidden="false" customHeight="false" outlineLevel="0" collapsed="false">
      <c r="A11" s="15" t="s">
        <v>662</v>
      </c>
    </row>
    <row r="12" customFormat="false" ht="15" hidden="false" customHeight="false" outlineLevel="0" collapsed="false">
      <c r="A12" s="6" t="s">
        <v>663</v>
      </c>
      <c r="B12" s="6" t="n">
        <f aca="false">COUNTIF(Cards!$AB$2:$AB$400,A12)</f>
        <v>125</v>
      </c>
    </row>
    <row r="13" customFormat="false" ht="15" hidden="false" customHeight="false" outlineLevel="0" collapsed="false">
      <c r="A13" s="6" t="s">
        <v>664</v>
      </c>
      <c r="B13" s="6" t="n">
        <f aca="false">COUNTIF(Cards!$AB$2:$AB$400,A13)</f>
        <v>0</v>
      </c>
    </row>
    <row r="14" customFormat="false" ht="15" hidden="false" customHeight="false" outlineLevel="0" collapsed="false">
      <c r="A14" s="6" t="s">
        <v>665</v>
      </c>
      <c r="B14" s="6" t="n">
        <f aca="false">COUNTIF(Cards!$AB$2:$AB$400,A14)</f>
        <v>0</v>
      </c>
    </row>
    <row r="15" customFormat="false" ht="15" hidden="false" customHeight="false" outlineLevel="0" collapsed="false">
      <c r="A15" s="6" t="s">
        <v>666</v>
      </c>
      <c r="B15" s="6" t="n">
        <f aca="false">COUNTIF(Cards!$AB$2:$AB$400,A15)</f>
        <v>3</v>
      </c>
    </row>
    <row r="17" customFormat="false" ht="15" hidden="false" customHeight="false" outlineLevel="0" collapsed="false">
      <c r="A17" s="15" t="s">
        <v>667</v>
      </c>
    </row>
    <row r="18" customFormat="false" ht="15" hidden="false" customHeight="false" outlineLevel="0" collapsed="false">
      <c r="A18" s="6" t="s">
        <v>91</v>
      </c>
      <c r="B18" s="6" t="n">
        <f aca="false">COUNTIFS(Cards!$C$2:$C$400,A18,Cards!$E$2:$E$400,"&lt;&gt;Starter")</f>
        <v>46</v>
      </c>
    </row>
    <row r="19" customFormat="false" ht="15" hidden="false" customHeight="false" outlineLevel="0" collapsed="false">
      <c r="A19" s="6" t="s">
        <v>99</v>
      </c>
      <c r="B19" s="6" t="n">
        <f aca="false">COUNTIFS(Cards!$C$2:$C$400,A19,Cards!$E$2:$E$400,"&lt;&gt;Starter")</f>
        <v>63</v>
      </c>
    </row>
    <row r="20" customFormat="false" ht="15" hidden="false" customHeight="false" outlineLevel="0" collapsed="false">
      <c r="A20" s="6" t="s">
        <v>366</v>
      </c>
      <c r="B20" s="6" t="n">
        <f aca="false">COUNTIFS(Cards!$C$2:$C$400,A20,Cards!$E$2:$E$400,"&lt;&gt;Starter")</f>
        <v>16</v>
      </c>
    </row>
    <row r="22" customFormat="false" ht="15" hidden="false" customHeight="false" outlineLevel="0" collapsed="false">
      <c r="A22" s="15" t="s">
        <v>668</v>
      </c>
    </row>
    <row r="23" customFormat="false" ht="15" hidden="false" customHeight="false" outlineLevel="0" collapsed="false">
      <c r="A23" s="6" t="s">
        <v>90</v>
      </c>
      <c r="B23" s="16" t="n">
        <v>5</v>
      </c>
    </row>
    <row r="24" customFormat="false" ht="15" hidden="false" customHeight="false" outlineLevel="0" collapsed="false">
      <c r="A24" s="6" t="s">
        <v>98</v>
      </c>
      <c r="B24" s="16" t="n">
        <v>4</v>
      </c>
    </row>
    <row r="25" customFormat="false" ht="15" hidden="false" customHeight="false" outlineLevel="0" collapsed="false">
      <c r="A25" s="6" t="s">
        <v>104</v>
      </c>
      <c r="B25" s="16" t="n">
        <v>1</v>
      </c>
    </row>
    <row r="26" customFormat="false" ht="15" hidden="false" customHeight="false" outlineLevel="0" collapsed="false">
      <c r="A26" s="6" t="s">
        <v>661</v>
      </c>
      <c r="B26" s="6" t="n">
        <f aca="false">SUM(B23:B25)</f>
        <v>10</v>
      </c>
    </row>
    <row r="28" customFormat="false" ht="15" hidden="false" customHeight="false" outlineLevel="0" collapsed="false">
      <c r="A28" s="15" t="s">
        <v>669</v>
      </c>
    </row>
    <row r="29" customFormat="false" ht="15" hidden="false" customHeight="false" outlineLevel="0" collapsed="false">
      <c r="A29" s="6" t="s">
        <v>110</v>
      </c>
      <c r="B29" s="17" t="n">
        <v>0.6</v>
      </c>
    </row>
    <row r="30" customFormat="false" ht="15" hidden="false" customHeight="false" outlineLevel="0" collapsed="false">
      <c r="A30" s="6" t="s">
        <v>345</v>
      </c>
      <c r="B30" s="17" t="n">
        <v>0.31</v>
      </c>
    </row>
    <row r="31" customFormat="false" ht="15" hidden="false" customHeight="false" outlineLevel="0" collapsed="false">
      <c r="A31" s="6" t="s">
        <v>521</v>
      </c>
      <c r="B31" s="17" t="n">
        <v>0.07</v>
      </c>
    </row>
    <row r="32" customFormat="false" ht="15" hidden="false" customHeight="false" outlineLevel="0" collapsed="false">
      <c r="A32" s="6" t="s">
        <v>621</v>
      </c>
      <c r="B32" s="17" t="n">
        <v>0.02</v>
      </c>
    </row>
    <row r="33" customFormat="false" ht="15" hidden="false" customHeight="false" outlineLevel="0" collapsed="false">
      <c r="A33" s="6" t="s">
        <v>661</v>
      </c>
      <c r="B33" s="18" t="n">
        <f aca="false">SUM(B29:B32)</f>
        <v>1</v>
      </c>
    </row>
    <row r="35" customFormat="false" ht="15" hidden="false" customHeight="false" outlineLevel="0" collapsed="false">
      <c r="A35" s="15" t="s">
        <v>670</v>
      </c>
    </row>
    <row r="36" customFormat="false" ht="15" hidden="false" customHeight="false" outlineLevel="0" collapsed="false">
      <c r="A36" s="6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3" t="s">
        <v>672</v>
      </c>
    </row>
    <row r="3" customFormat="false" ht="15" hidden="false" customHeight="false" outlineLevel="0" collapsed="false">
      <c r="A3" s="19" t="s">
        <v>673</v>
      </c>
      <c r="B3" s="19" t="s">
        <v>674</v>
      </c>
      <c r="C3" s="19" t="s">
        <v>675</v>
      </c>
    </row>
    <row r="4" customFormat="false" ht="15" hidden="false" customHeight="false" outlineLevel="0" collapsed="false">
      <c r="A4" s="11" t="s">
        <v>48</v>
      </c>
      <c r="B4" s="11" t="s">
        <v>676</v>
      </c>
      <c r="C4" s="11" t="s">
        <v>677</v>
      </c>
    </row>
    <row r="5" customFormat="false" ht="15" hidden="false" customHeight="false" outlineLevel="0" collapsed="false">
      <c r="A5" s="11" t="s">
        <v>50</v>
      </c>
      <c r="B5" s="11" t="s">
        <v>678</v>
      </c>
      <c r="C5" s="11" t="s">
        <v>677</v>
      </c>
    </row>
    <row r="6" customFormat="false" ht="26.85" hidden="false" customHeight="false" outlineLevel="0" collapsed="false">
      <c r="A6" s="11" t="s">
        <v>77</v>
      </c>
      <c r="B6" s="11" t="s">
        <v>679</v>
      </c>
      <c r="C6" s="11" t="s">
        <v>677</v>
      </c>
    </row>
    <row r="7" customFormat="false" ht="15" hidden="false" customHeight="false" outlineLevel="0" collapsed="false">
      <c r="A7" s="11" t="s">
        <v>75</v>
      </c>
      <c r="B7" s="11" t="s">
        <v>680</v>
      </c>
      <c r="C7" s="11" t="s">
        <v>677</v>
      </c>
    </row>
    <row r="8" customFormat="false" ht="15" hidden="false" customHeight="false" outlineLevel="0" collapsed="false">
      <c r="A8" s="11" t="s">
        <v>681</v>
      </c>
      <c r="B8" s="11" t="s">
        <v>682</v>
      </c>
      <c r="C8" s="11" t="s">
        <v>677</v>
      </c>
    </row>
    <row r="9" customFormat="false" ht="15" hidden="false" customHeight="false" outlineLevel="0" collapsed="false">
      <c r="A9" s="11" t="s">
        <v>79</v>
      </c>
      <c r="B9" s="11" t="s">
        <v>683</v>
      </c>
      <c r="C9" s="11" t="s">
        <v>677</v>
      </c>
    </row>
    <row r="10" customFormat="false" ht="15" hidden="false" customHeight="false" outlineLevel="0" collapsed="false">
      <c r="A10" s="11" t="s">
        <v>684</v>
      </c>
      <c r="B10" s="11" t="s">
        <v>685</v>
      </c>
      <c r="C10" s="11" t="s">
        <v>686</v>
      </c>
    </row>
    <row r="11" customFormat="false" ht="15" hidden="false" customHeight="false" outlineLevel="0" collapsed="false">
      <c r="A11" s="11" t="s">
        <v>366</v>
      </c>
      <c r="B11" s="11" t="s">
        <v>687</v>
      </c>
      <c r="C11" s="11" t="s">
        <v>686</v>
      </c>
    </row>
    <row r="12" customFormat="false" ht="15" hidden="false" customHeight="false" outlineLevel="0" collapsed="false">
      <c r="A12" s="11" t="s">
        <v>688</v>
      </c>
      <c r="B12" s="11" t="s">
        <v>689</v>
      </c>
      <c r="C12" s="11" t="s">
        <v>677</v>
      </c>
    </row>
    <row r="13" customFormat="false" ht="15" hidden="false" customHeight="false" outlineLevel="0" collapsed="false">
      <c r="A13" s="11" t="s">
        <v>690</v>
      </c>
      <c r="B13" s="11" t="s">
        <v>691</v>
      </c>
      <c r="C13" s="11" t="s">
        <v>692</v>
      </c>
    </row>
    <row r="14" customFormat="false" ht="15" hidden="false" customHeight="false" outlineLevel="0" collapsed="false">
      <c r="A14" s="11" t="s">
        <v>693</v>
      </c>
      <c r="B14" s="11" t="s">
        <v>694</v>
      </c>
      <c r="C14" s="11" t="s">
        <v>695</v>
      </c>
    </row>
    <row r="15" customFormat="false" ht="15" hidden="false" customHeight="false" outlineLevel="0" collapsed="false">
      <c r="A15" s="11" t="s">
        <v>64</v>
      </c>
      <c r="B15" s="11" t="s">
        <v>696</v>
      </c>
      <c r="C15" s="11" t="s">
        <v>686</v>
      </c>
    </row>
    <row r="16" customFormat="false" ht="15" hidden="false" customHeight="false" outlineLevel="0" collapsed="false">
      <c r="A16" s="11" t="s">
        <v>697</v>
      </c>
      <c r="B16" s="11" t="s">
        <v>698</v>
      </c>
      <c r="C16" s="11" t="s">
        <v>699</v>
      </c>
    </row>
    <row r="17" customFormat="false" ht="15" hidden="false" customHeight="false" outlineLevel="0" collapsed="false">
      <c r="A17" s="11" t="s">
        <v>700</v>
      </c>
      <c r="B17" s="11" t="s">
        <v>701</v>
      </c>
      <c r="C17" s="11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3" t="s">
        <v>702</v>
      </c>
    </row>
    <row r="2" customFormat="false" ht="15" hidden="false" customHeight="false" outlineLevel="0" collapsed="false">
      <c r="A2" s="4" t="s">
        <v>703</v>
      </c>
    </row>
    <row r="4" customFormat="false" ht="26.85" hidden="false" customHeight="false" outlineLevel="0" collapsed="false">
      <c r="A4" s="19" t="s">
        <v>704</v>
      </c>
      <c r="B4" s="19" t="s">
        <v>705</v>
      </c>
      <c r="C4" s="19" t="s">
        <v>706</v>
      </c>
      <c r="D4" s="19" t="s">
        <v>675</v>
      </c>
    </row>
    <row r="5" customFormat="false" ht="39.55" hidden="false" customHeight="false" outlineLevel="0" collapsed="false">
      <c r="A5" s="11" t="s">
        <v>707</v>
      </c>
      <c r="B5" s="11" t="s">
        <v>708</v>
      </c>
      <c r="C5" s="11" t="s">
        <v>709</v>
      </c>
      <c r="D5" s="11" t="s">
        <v>686</v>
      </c>
    </row>
    <row r="6" customFormat="false" ht="26.85" hidden="false" customHeight="false" outlineLevel="0" collapsed="false">
      <c r="A6" s="11" t="s">
        <v>710</v>
      </c>
      <c r="B6" s="11" t="s">
        <v>711</v>
      </c>
      <c r="C6" s="11" t="s">
        <v>712</v>
      </c>
      <c r="D6" s="11" t="s">
        <v>699</v>
      </c>
    </row>
    <row r="7" customFormat="false" ht="26.85" hidden="false" customHeight="false" outlineLevel="0" collapsed="false">
      <c r="A7" s="11" t="s">
        <v>713</v>
      </c>
      <c r="B7" s="11" t="s">
        <v>714</v>
      </c>
      <c r="C7" s="11" t="s">
        <v>712</v>
      </c>
      <c r="D7" s="11" t="s">
        <v>699</v>
      </c>
    </row>
    <row r="8" customFormat="false" ht="15" hidden="false" customHeight="false" outlineLevel="0" collapsed="false">
      <c r="A8" s="11" t="s">
        <v>715</v>
      </c>
      <c r="B8" s="11" t="s">
        <v>716</v>
      </c>
      <c r="C8" s="11" t="s">
        <v>253</v>
      </c>
      <c r="D8" s="11" t="s">
        <v>677</v>
      </c>
    </row>
    <row r="9" customFormat="false" ht="15" hidden="false" customHeight="false" outlineLevel="0" collapsed="false">
      <c r="A9" s="11" t="s">
        <v>717</v>
      </c>
      <c r="B9" s="11" t="s">
        <v>718</v>
      </c>
      <c r="C9" s="11" t="s">
        <v>274</v>
      </c>
      <c r="D9" s="11" t="s">
        <v>677</v>
      </c>
    </row>
    <row r="10" customFormat="false" ht="15" hidden="false" customHeight="false" outlineLevel="0" collapsed="false">
      <c r="A10" s="11" t="s">
        <v>719</v>
      </c>
      <c r="B10" s="11" t="s">
        <v>720</v>
      </c>
      <c r="C10" s="11" t="s">
        <v>721</v>
      </c>
      <c r="D10" s="11" t="s">
        <v>677</v>
      </c>
    </row>
    <row r="11" customFormat="false" ht="15" hidden="false" customHeight="false" outlineLevel="0" collapsed="false">
      <c r="A11" s="11" t="s">
        <v>722</v>
      </c>
      <c r="B11" s="11" t="s">
        <v>723</v>
      </c>
      <c r="C11" s="11" t="s">
        <v>443</v>
      </c>
      <c r="D11" s="11" t="s">
        <v>677</v>
      </c>
    </row>
    <row r="12" customFormat="false" ht="15" hidden="false" customHeight="false" outlineLevel="0" collapsed="false">
      <c r="A12" s="11" t="s">
        <v>724</v>
      </c>
      <c r="B12" s="11" t="s">
        <v>725</v>
      </c>
      <c r="C12" s="11" t="s">
        <v>726</v>
      </c>
      <c r="D12" s="11" t="s">
        <v>677</v>
      </c>
    </row>
    <row r="13" customFormat="false" ht="15" hidden="false" customHeight="false" outlineLevel="0" collapsed="false">
      <c r="A13" s="11" t="s">
        <v>727</v>
      </c>
      <c r="B13" s="11" t="s">
        <v>728</v>
      </c>
      <c r="C13" s="11" t="s">
        <v>489</v>
      </c>
      <c r="D13" s="11" t="s">
        <v>677</v>
      </c>
    </row>
    <row r="14" customFormat="false" ht="15" hidden="false" customHeight="false" outlineLevel="0" collapsed="false">
      <c r="A14" s="11" t="s">
        <v>729</v>
      </c>
      <c r="B14" s="11" t="s">
        <v>730</v>
      </c>
      <c r="C14" s="11" t="s">
        <v>731</v>
      </c>
      <c r="D14" s="11" t="s">
        <v>732</v>
      </c>
    </row>
    <row r="15" customFormat="false" ht="15" hidden="false" customHeight="false" outlineLevel="0" collapsed="false">
      <c r="A15" s="11" t="s">
        <v>733</v>
      </c>
      <c r="B15" s="11" t="s">
        <v>734</v>
      </c>
      <c r="C15" s="11" t="s">
        <v>426</v>
      </c>
      <c r="D15" s="11" t="s">
        <v>677</v>
      </c>
    </row>
    <row r="16" customFormat="false" ht="15" hidden="false" customHeight="false" outlineLevel="0" collapsed="false">
      <c r="A16" s="11" t="s">
        <v>735</v>
      </c>
      <c r="B16" s="11" t="s">
        <v>736</v>
      </c>
      <c r="C16" s="11" t="s">
        <v>737</v>
      </c>
      <c r="D16" s="11" t="s">
        <v>677</v>
      </c>
    </row>
    <row r="17" customFormat="false" ht="15" hidden="false" customHeight="false" outlineLevel="0" collapsed="false">
      <c r="A17" s="11" t="s">
        <v>738</v>
      </c>
      <c r="B17" s="11" t="s">
        <v>739</v>
      </c>
      <c r="C17" s="11" t="s">
        <v>590</v>
      </c>
      <c r="D17" s="11" t="s">
        <v>677</v>
      </c>
    </row>
    <row r="18" customFormat="false" ht="15" hidden="false" customHeight="false" outlineLevel="0" collapsed="false">
      <c r="A18" s="11" t="s">
        <v>740</v>
      </c>
      <c r="B18" s="11" t="s">
        <v>741</v>
      </c>
      <c r="C18" s="11" t="s">
        <v>603</v>
      </c>
      <c r="D18" s="11" t="s">
        <v>686</v>
      </c>
    </row>
    <row r="19" customFormat="false" ht="26.85" hidden="false" customHeight="false" outlineLevel="0" collapsed="false">
      <c r="A19" s="11" t="s">
        <v>742</v>
      </c>
      <c r="B19" s="11" t="s">
        <v>743</v>
      </c>
      <c r="C19" s="11" t="s">
        <v>620</v>
      </c>
      <c r="D19" s="11" t="s">
        <v>677</v>
      </c>
    </row>
    <row r="20" customFormat="false" ht="15" hidden="false" customHeight="false" outlineLevel="0" collapsed="false">
      <c r="A20" s="11" t="s">
        <v>744</v>
      </c>
      <c r="B20" s="11" t="s">
        <v>745</v>
      </c>
      <c r="C20" s="11" t="s">
        <v>626</v>
      </c>
      <c r="D20" s="11" t="s">
        <v>732</v>
      </c>
    </row>
    <row r="21" customFormat="false" ht="15" hidden="false" customHeight="false" outlineLevel="0" collapsed="false">
      <c r="A21" s="11" t="s">
        <v>746</v>
      </c>
      <c r="B21" s="11" t="s">
        <v>747</v>
      </c>
      <c r="C21" s="11" t="s">
        <v>631</v>
      </c>
      <c r="D21" s="11" t="s">
        <v>677</v>
      </c>
    </row>
    <row r="22" customFormat="false" ht="15" hidden="false" customHeight="false" outlineLevel="0" collapsed="false">
      <c r="A22" s="11" t="s">
        <v>748</v>
      </c>
      <c r="B22" s="11" t="s">
        <v>749</v>
      </c>
      <c r="C22" s="11" t="s">
        <v>641</v>
      </c>
      <c r="D22" s="11" t="s">
        <v>677</v>
      </c>
    </row>
    <row r="23" customFormat="false" ht="15" hidden="false" customHeight="false" outlineLevel="0" collapsed="false">
      <c r="A23" s="11" t="s">
        <v>750</v>
      </c>
      <c r="B23" s="11" t="s">
        <v>751</v>
      </c>
      <c r="C23" s="11" t="s">
        <v>651</v>
      </c>
      <c r="D23" s="11" t="s">
        <v>677</v>
      </c>
    </row>
    <row r="24" customFormat="false" ht="52.2" hidden="false" customHeight="false" outlineLevel="0" collapsed="false">
      <c r="A24" s="11" t="s">
        <v>752</v>
      </c>
      <c r="B24" s="11" t="s">
        <v>753</v>
      </c>
      <c r="C24" s="11" t="s">
        <v>754</v>
      </c>
      <c r="D24" s="11" t="s">
        <v>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2026-10-29T16:40:13Z</dcterms:created>
  <dc:creator>openpyxl</dc:creator>
  <dc:description/>
  <dc:language>en-US</dc:language>
  <cp:lastModifiedBy/>
  <dcterms:modified xsi:type="dcterms:W3CDTF">2026-10-29T16:40:13Z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